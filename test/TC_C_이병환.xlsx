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BE96190-9021-429C-80CB-0C945E431922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00_Summary" sheetId="1" r:id="rId1"/>
    <sheet name="01_SLAS_Testcase" sheetId="2" r:id="rId2"/>
    <sheet name="02_Requirements_Coverage" sheetId="3" r:id="rId3"/>
    <sheet name="03_UnitTest_Result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" i="4" l="1"/>
  <c r="B29" i="4"/>
  <c r="B28" i="4"/>
  <c r="C36" i="3"/>
  <c r="D36" i="3" s="1"/>
  <c r="C35" i="3"/>
  <c r="D35" i="3" s="1"/>
  <c r="C34" i="3"/>
  <c r="D34" i="3" s="1"/>
  <c r="C33" i="3"/>
  <c r="D33" i="3" s="1"/>
  <c r="C32" i="3"/>
  <c r="D32" i="3" s="1"/>
  <c r="C31" i="3"/>
  <c r="D31" i="3" s="1"/>
  <c r="C30" i="3"/>
  <c r="D30" i="3" s="1"/>
  <c r="C29" i="3"/>
  <c r="D29" i="3" s="1"/>
  <c r="C28" i="3"/>
  <c r="D28" i="3" s="1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1" i="3"/>
  <c r="D21" i="3" s="1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B14" i="1"/>
  <c r="B13" i="1"/>
  <c r="B12" i="1"/>
  <c r="B11" i="1"/>
  <c r="E7" i="1"/>
  <c r="E6" i="1"/>
  <c r="H5" i="1"/>
  <c r="E5" i="1"/>
  <c r="B5" i="1"/>
  <c r="E8" i="1" l="1"/>
  <c r="H6" i="1"/>
  <c r="H7" i="1" s="1"/>
  <c r="B6" i="1"/>
  <c r="B7" i="1" s="1"/>
  <c r="H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100-000001000000}">
      <text>
        <r>
          <rPr>
            <sz val="10"/>
            <rFont val="Arial"/>
            <family val="2"/>
          </rPr>
          <t xml:space="preserve">TC ID </t>
        </r>
        <r>
          <rPr>
            <sz val="10"/>
            <rFont val="Noto Sans CJK SC"/>
            <family val="2"/>
          </rPr>
          <t>네이밍 규칙</t>
        </r>
        <r>
          <rPr>
            <sz val="10"/>
            <rFont val="Arial"/>
            <family val="2"/>
          </rPr>
          <t xml:space="preserve">:
SLAS-XX-TC-NNN
XX = </t>
        </r>
        <r>
          <rPr>
            <sz val="10"/>
            <rFont val="Noto Sans CJK SC"/>
            <family val="2"/>
          </rPr>
          <t xml:space="preserve">테스트 기법 약어
  </t>
        </r>
        <r>
          <rPr>
            <sz val="10"/>
            <rFont val="Arial"/>
            <family val="2"/>
          </rPr>
          <t xml:space="preserve">RA: Requirement Analysis
  EP: Equivalence Partitioning
  BV: Boundary Value Analysis
  EG: Error Guessing
  PW: Pairwise
NNN = </t>
        </r>
        <r>
          <rPr>
            <sz val="10"/>
            <rFont val="Noto Sans CJK SC"/>
            <family val="2"/>
          </rPr>
          <t xml:space="preserve">일련번호 </t>
        </r>
        <r>
          <rPr>
            <sz val="10"/>
            <rFont val="Arial"/>
            <family val="2"/>
          </rPr>
          <t xml:space="preserve">(001~)
</t>
        </r>
        <r>
          <rPr>
            <sz val="10"/>
            <rFont val="Noto Sans CJK SC"/>
            <family val="2"/>
          </rPr>
          <t>예시</t>
        </r>
        <r>
          <rPr>
            <sz val="10"/>
            <rFont val="Arial"/>
            <family val="2"/>
          </rPr>
          <t>: SLAS-EP-TC-001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2" authorId="0" shapeId="0" xr:uid="{00000000-0006-0000-0300-000001000000}">
      <text>
        <r>
          <rPr>
            <sz val="10"/>
            <rFont val="Arial"/>
            <family val="2"/>
          </rPr>
          <t xml:space="preserve">gcov </t>
        </r>
        <r>
          <rPr>
            <sz val="10"/>
            <rFont val="Noto Sans CJK SC"/>
            <family val="2"/>
          </rPr>
          <t xml:space="preserve">실행 결과의 </t>
        </r>
        <r>
          <rPr>
            <sz val="10"/>
            <rFont val="Arial"/>
            <family val="2"/>
          </rPr>
          <t xml:space="preserve">Lines executed </t>
        </r>
        <r>
          <rPr>
            <sz val="10"/>
            <rFont val="Noto Sans CJK SC"/>
            <family val="2"/>
          </rPr>
          <t>값을 입력하세요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 xml:space="preserve">: 75.3% -&gt; 0.753 </t>
        </r>
        <r>
          <rPr>
            <sz val="10"/>
            <rFont val="Noto Sans CJK SC"/>
            <family val="2"/>
          </rPr>
          <t>입력</t>
        </r>
      </text>
    </comment>
  </commentList>
</comments>
</file>

<file path=xl/sharedStrings.xml><?xml version="1.0" encoding="utf-8"?>
<sst xmlns="http://schemas.openxmlformats.org/spreadsheetml/2006/main" count="213" uniqueCount="184">
  <si>
    <t>&lt;SLAS&gt; Test Summary</t>
  </si>
  <si>
    <t>Metric</t>
  </si>
  <si>
    <t>Value</t>
  </si>
  <si>
    <t>Result</t>
  </si>
  <si>
    <t>Coverage</t>
  </si>
  <si>
    <t>SLAS Testcase Total</t>
  </si>
  <si>
    <t>Pass</t>
  </si>
  <si>
    <t>SLAS Requirement Total</t>
  </si>
  <si>
    <t>Executed Testcase</t>
  </si>
  <si>
    <t>Fail</t>
  </si>
  <si>
    <t>Covered Requirements</t>
  </si>
  <si>
    <t>Execution Rate</t>
  </si>
  <si>
    <t>N/A</t>
  </si>
  <si>
    <t>Coverage Rate</t>
  </si>
  <si>
    <t>Not Tested</t>
  </si>
  <si>
    <t>Not Covered</t>
  </si>
  <si>
    <t>Unit Test</t>
  </si>
  <si>
    <t>Unit Test Total</t>
  </si>
  <si>
    <t>Unit Test Pass</t>
  </si>
  <si>
    <t>Unit Test Fail</t>
  </si>
  <si>
    <t>Statement Coverage</t>
  </si>
  <si>
    <t>02_SLAS_Testcase</t>
  </si>
  <si>
    <t>No.</t>
  </si>
  <si>
    <t>TC ID</t>
  </si>
  <si>
    <t>SRS ID</t>
  </si>
  <si>
    <t>Purpose</t>
  </si>
  <si>
    <t>Verification Type</t>
  </si>
  <si>
    <t>Test Procedure</t>
  </si>
  <si>
    <t>Input</t>
  </si>
  <si>
    <t>Expected Result</t>
  </si>
  <si>
    <t>Remarks</t>
  </si>
  <si>
    <t>Actual Result</t>
  </si>
  <si>
    <t>Severity</t>
  </si>
  <si>
    <t>Priority</t>
  </si>
  <si>
    <t>SLAS-TC-001</t>
  </si>
  <si>
    <t>SLAS-SRS-003</t>
  </si>
  <si>
    <r>
      <rPr>
        <sz val="10"/>
        <color rgb="FF111827"/>
        <rFont val="Calibri"/>
        <family val="2"/>
      </rPr>
      <t xml:space="preserve">OFF </t>
    </r>
    <r>
      <rPr>
        <sz val="10"/>
        <color rgb="FF111827"/>
        <rFont val="Noto Sans CJK SC"/>
        <family val="2"/>
      </rPr>
      <t xml:space="preserve">모드에서 </t>
    </r>
    <r>
      <rPr>
        <sz val="10"/>
        <color rgb="FF111827"/>
        <rFont val="Calibri"/>
        <family val="2"/>
      </rPr>
      <t xml:space="preserve">SLAS </t>
    </r>
    <r>
      <rPr>
        <sz val="10"/>
        <color rgb="FF111827"/>
        <rFont val="Noto Sans CJK SC"/>
        <family val="2"/>
      </rPr>
      <t>보조 표시 색상 확인</t>
    </r>
  </si>
  <si>
    <t>EP</t>
  </si>
  <si>
    <r>
      <rPr>
        <sz val="10"/>
        <color rgb="FF111827"/>
        <rFont val="Calibri"/>
        <family val="2"/>
      </rPr>
      <t xml:space="preserve">SLAS </t>
    </r>
    <r>
      <rPr>
        <sz val="10"/>
        <color rgb="FF111827"/>
        <rFont val="Noto Sans CJK SC"/>
        <family val="2"/>
      </rPr>
      <t>운용 모드</t>
    </r>
    <r>
      <rPr>
        <sz val="10"/>
        <color rgb="FF111827"/>
        <rFont val="Calibri"/>
        <family val="2"/>
      </rPr>
      <t>=OFF</t>
    </r>
  </si>
  <si>
    <r>
      <rPr>
        <sz val="10"/>
        <color rgb="FF111827"/>
        <rFont val="Calibri"/>
        <family val="2"/>
      </rPr>
      <t xml:space="preserve">SLAS </t>
    </r>
    <r>
      <rPr>
        <sz val="10"/>
        <color rgb="FF111827"/>
        <rFont val="Noto Sans CJK SC"/>
        <family val="2"/>
      </rPr>
      <t xml:space="preserve">보조 표시 색상 </t>
    </r>
    <r>
      <rPr>
        <sz val="10"/>
        <color rgb="FF111827"/>
        <rFont val="Calibri"/>
        <family val="2"/>
      </rPr>
      <t>= OFF</t>
    </r>
  </si>
  <si>
    <t>SLAS-TC-002</t>
  </si>
  <si>
    <t>SLAS-SRS-004</t>
  </si>
  <si>
    <r>
      <rPr>
        <sz val="10"/>
        <color rgb="FF111827"/>
        <rFont val="Calibri"/>
        <family val="2"/>
      </rPr>
      <t xml:space="preserve">OFF </t>
    </r>
    <r>
      <rPr>
        <sz val="10"/>
        <color rgb="FF111827"/>
        <rFont val="Noto Sans CJK SC"/>
        <family val="2"/>
      </rPr>
      <t>모드에서 과속 경고</t>
    </r>
    <r>
      <rPr>
        <sz val="10"/>
        <color rgb="FF111827"/>
        <rFont val="Calibri"/>
        <family val="2"/>
      </rPr>
      <t>/</t>
    </r>
    <r>
      <rPr>
        <sz val="10"/>
        <color rgb="FF111827"/>
        <rFont val="Noto Sans CJK SC"/>
        <family val="2"/>
      </rPr>
      <t>설정속도 변경 안내 억제 확인</t>
    </r>
  </si>
  <si>
    <r>
      <rPr>
        <sz val="10"/>
        <color rgb="FF111827"/>
        <rFont val="Noto Sans CJK SC"/>
        <family val="2"/>
      </rPr>
      <t>과속 경고</t>
    </r>
    <r>
      <rPr>
        <sz val="10"/>
        <color rgb="FF111827"/>
        <rFont val="Calibri"/>
        <family val="2"/>
      </rPr>
      <t xml:space="preserve">=OFF, </t>
    </r>
    <r>
      <rPr>
        <sz val="10"/>
        <color rgb="FF111827"/>
        <rFont val="Noto Sans CJK SC"/>
        <family val="2"/>
      </rPr>
      <t>설정속도 변경 안내</t>
    </r>
    <r>
      <rPr>
        <sz val="10"/>
        <color rgb="FF111827"/>
        <rFont val="Calibri"/>
        <family val="2"/>
      </rPr>
      <t>=NONE</t>
    </r>
  </si>
  <si>
    <r>
      <rPr>
        <sz val="10"/>
        <color rgb="FF111827"/>
        <rFont val="Calibri"/>
        <family val="2"/>
      </rPr>
      <t xml:space="preserve">OFF </t>
    </r>
    <r>
      <rPr>
        <sz val="10"/>
        <color rgb="FF111827"/>
        <rFont val="Noto Sans CJK SC"/>
        <family val="2"/>
      </rPr>
      <t>모드에서는 경고</t>
    </r>
    <r>
      <rPr>
        <sz val="10"/>
        <color rgb="FF111827"/>
        <rFont val="Calibri"/>
        <family val="2"/>
      </rPr>
      <t>/</t>
    </r>
    <r>
      <rPr>
        <sz val="10"/>
        <color rgb="FF111827"/>
        <rFont val="Noto Sans CJK SC"/>
        <family val="2"/>
      </rPr>
      <t>안내 트리거 조건이 성립해도 출력되지 않아야 함</t>
    </r>
  </si>
  <si>
    <t>SLAS-TC-003</t>
  </si>
  <si>
    <t>SLAS-SRS-010</t>
  </si>
  <si>
    <r>
      <rPr>
        <sz val="10"/>
        <color rgb="FF111827"/>
        <rFont val="Calibri"/>
        <family val="2"/>
      </rPr>
      <t xml:space="preserve">ASSIST </t>
    </r>
    <r>
      <rPr>
        <sz val="10"/>
        <color rgb="FF111827"/>
        <rFont val="Noto Sans CJK SC"/>
        <family val="2"/>
      </rPr>
      <t>모드에서 설정속도</t>
    </r>
    <r>
      <rPr>
        <sz val="10"/>
        <color rgb="FF111827"/>
        <rFont val="Calibri"/>
        <family val="2"/>
      </rPr>
      <t>&lt;</t>
    </r>
    <r>
      <rPr>
        <sz val="10"/>
        <color rgb="FF111827"/>
        <rFont val="Noto Sans CJK SC"/>
        <family val="2"/>
      </rPr>
      <t xml:space="preserve">적용 제한속도 시 </t>
    </r>
    <r>
      <rPr>
        <sz val="10"/>
        <color rgb="FF111827"/>
        <rFont val="Calibri"/>
        <family val="2"/>
      </rPr>
      <t xml:space="preserve">UP </t>
    </r>
    <r>
      <rPr>
        <sz val="10"/>
        <color rgb="FF111827"/>
        <rFont val="Noto Sans CJK SC"/>
        <family val="2"/>
      </rPr>
      <t>안내 확인</t>
    </r>
  </si>
  <si>
    <r>
      <rPr>
        <sz val="10"/>
        <color rgb="FF111827"/>
        <rFont val="Noto Sans CJK SC"/>
        <family val="2"/>
      </rPr>
      <t xml:space="preserve">설정속도 변경 안내 </t>
    </r>
    <r>
      <rPr>
        <sz val="10"/>
        <color rgb="FF111827"/>
        <rFont val="Calibri"/>
        <family val="2"/>
      </rPr>
      <t>= UP</t>
    </r>
  </si>
  <si>
    <t>SLAS-TC-004</t>
  </si>
  <si>
    <t>SLAS-SRS-011</t>
  </si>
  <si>
    <r>
      <rPr>
        <sz val="10"/>
        <color rgb="FF111827"/>
        <rFont val="Calibri"/>
        <family val="2"/>
      </rPr>
      <t xml:space="preserve">ASSIST </t>
    </r>
    <r>
      <rPr>
        <sz val="10"/>
        <color rgb="FF111827"/>
        <rFont val="Noto Sans CJK SC"/>
        <family val="2"/>
      </rPr>
      <t>모드에서 설정속도</t>
    </r>
    <r>
      <rPr>
        <sz val="10"/>
        <color rgb="FF111827"/>
        <rFont val="Calibri"/>
        <family val="2"/>
      </rPr>
      <t>&gt;</t>
    </r>
    <r>
      <rPr>
        <sz val="10"/>
        <color rgb="FF111827"/>
        <rFont val="Noto Sans CJK SC"/>
        <family val="2"/>
      </rPr>
      <t xml:space="preserve">적용 제한속도 시 </t>
    </r>
    <r>
      <rPr>
        <sz val="10"/>
        <color rgb="FF111827"/>
        <rFont val="Calibri"/>
        <family val="2"/>
      </rPr>
      <t xml:space="preserve">DOWN </t>
    </r>
    <r>
      <rPr>
        <sz val="10"/>
        <color rgb="FF111827"/>
        <rFont val="Noto Sans CJK SC"/>
        <family val="2"/>
      </rPr>
      <t>안내 확인</t>
    </r>
  </si>
  <si>
    <r>
      <rPr>
        <sz val="10"/>
        <color rgb="FF111827"/>
        <rFont val="Noto Sans CJK SC"/>
        <family val="2"/>
      </rPr>
      <t xml:space="preserve">설정속도 변경 안내 </t>
    </r>
    <r>
      <rPr>
        <sz val="10"/>
        <color rgb="FF111827"/>
        <rFont val="Calibri"/>
        <family val="2"/>
      </rPr>
      <t>= DOWN</t>
    </r>
  </si>
  <si>
    <t>SLAS-TC-005</t>
  </si>
  <si>
    <t>SLAS-SRS-010,SLAS-SRS-011</t>
  </si>
  <si>
    <r>
      <rPr>
        <sz val="10"/>
        <color rgb="FF111827"/>
        <rFont val="Calibri"/>
        <family val="2"/>
      </rPr>
      <t xml:space="preserve">ASSIST </t>
    </r>
    <r>
      <rPr>
        <sz val="10"/>
        <color rgb="FF111827"/>
        <rFont val="Noto Sans CJK SC"/>
        <family val="2"/>
      </rPr>
      <t>모드에서 설정속도</t>
    </r>
    <r>
      <rPr>
        <sz val="10"/>
        <color rgb="FF111827"/>
        <rFont val="Calibri"/>
        <family val="2"/>
      </rPr>
      <t>=</t>
    </r>
    <r>
      <rPr>
        <sz val="10"/>
        <color rgb="FF111827"/>
        <rFont val="Noto Sans CJK SC"/>
        <family val="2"/>
      </rPr>
      <t>적용 제한속도</t>
    </r>
    <r>
      <rPr>
        <sz val="10"/>
        <color rgb="FF111827"/>
        <rFont val="Calibri"/>
        <family val="2"/>
      </rPr>
      <t>(</t>
    </r>
    <r>
      <rPr>
        <sz val="10"/>
        <color rgb="FF111827"/>
        <rFont val="Noto Sans CJK SC"/>
        <family val="2"/>
      </rPr>
      <t>동일</t>
    </r>
    <r>
      <rPr>
        <sz val="10"/>
        <color rgb="FF111827"/>
        <rFont val="Calibri"/>
        <family val="2"/>
      </rPr>
      <t xml:space="preserve">) </t>
    </r>
    <r>
      <rPr>
        <sz val="10"/>
        <color rgb="FF111827"/>
        <rFont val="Noto Sans CJK SC"/>
        <family val="2"/>
      </rPr>
      <t>시 안내 동작 확인</t>
    </r>
  </si>
  <si>
    <t>EG</t>
  </si>
  <si>
    <r>
      <rPr>
        <sz val="10"/>
        <color rgb="FF111827"/>
        <rFont val="Noto Sans CJK SC"/>
        <family val="2"/>
      </rPr>
      <t xml:space="preserve">설정속도 변경 안내 </t>
    </r>
    <r>
      <rPr>
        <sz val="10"/>
        <color rgb="FF111827"/>
        <rFont val="Calibri"/>
        <family val="2"/>
      </rPr>
      <t>= NONE (</t>
    </r>
    <r>
      <rPr>
        <sz val="10"/>
        <color rgb="FF111827"/>
        <rFont val="Noto Sans CJK SC"/>
        <family val="2"/>
      </rPr>
      <t>추정</t>
    </r>
    <r>
      <rPr>
        <sz val="10"/>
        <color rgb="FF111827"/>
        <rFont val="Calibri"/>
        <family val="2"/>
      </rPr>
      <t xml:space="preserve">, </t>
    </r>
    <r>
      <rPr>
        <sz val="10"/>
        <color rgb="FF111827"/>
        <rFont val="Noto Sans CJK SC"/>
        <family val="2"/>
      </rPr>
      <t>명세서에 동일값 케이스 명시 없음</t>
    </r>
    <r>
      <rPr>
        <sz val="10"/>
        <color rgb="FF111827"/>
        <rFont val="Calibri"/>
        <family val="2"/>
      </rPr>
      <t>)</t>
    </r>
  </si>
  <si>
    <r>
      <rPr>
        <sz val="10"/>
        <color rgb="FF111827"/>
        <rFont val="Noto Sans CJK SC"/>
        <family val="2"/>
      </rPr>
      <t xml:space="preserve">명세서 </t>
    </r>
    <r>
      <rPr>
        <sz val="10"/>
        <color rgb="FF111827"/>
        <rFont val="Calibri"/>
        <family val="2"/>
      </rPr>
      <t>SRS-010/011</t>
    </r>
    <r>
      <rPr>
        <sz val="10"/>
        <color rgb="FF111827"/>
        <rFont val="Noto Sans CJK SC"/>
        <family val="2"/>
      </rPr>
      <t xml:space="preserve">에 </t>
    </r>
    <r>
      <rPr>
        <sz val="10"/>
        <color rgb="FF111827"/>
        <rFont val="Calibri"/>
        <family val="2"/>
      </rPr>
      <t>'</t>
    </r>
    <r>
      <rPr>
        <sz val="10"/>
        <color rgb="FF111827"/>
        <rFont val="Noto Sans CJK SC"/>
        <family val="2"/>
      </rPr>
      <t>낮으면</t>
    </r>
    <r>
      <rPr>
        <sz val="10"/>
        <color rgb="FF111827"/>
        <rFont val="Calibri"/>
        <family val="2"/>
      </rPr>
      <t>'/'</t>
    </r>
    <r>
      <rPr>
        <sz val="10"/>
        <color rgb="FF111827"/>
        <rFont val="Noto Sans CJK SC"/>
        <family val="2"/>
      </rPr>
      <t>높으면</t>
    </r>
    <r>
      <rPr>
        <sz val="10"/>
        <color rgb="FF111827"/>
        <rFont val="Calibri"/>
        <family val="2"/>
      </rPr>
      <t>'</t>
    </r>
    <r>
      <rPr>
        <sz val="10"/>
        <color rgb="FF111827"/>
        <rFont val="Noto Sans CJK SC"/>
        <family val="2"/>
      </rPr>
      <t>만 정의되어 있어 동일값</t>
    </r>
    <r>
      <rPr>
        <sz val="10"/>
        <color rgb="FF111827"/>
        <rFont val="Calibri"/>
        <family val="2"/>
      </rPr>
      <t xml:space="preserve">(=) </t>
    </r>
    <r>
      <rPr>
        <sz val="10"/>
        <color rgb="FF111827"/>
        <rFont val="Noto Sans CJK SC"/>
        <family val="2"/>
      </rPr>
      <t>케이스는 안내 없음으로 추정</t>
    </r>
    <r>
      <rPr>
        <sz val="10"/>
        <color rgb="FF111827"/>
        <rFont val="Calibri"/>
        <family val="2"/>
      </rPr>
      <t xml:space="preserve">. </t>
    </r>
    <r>
      <rPr>
        <sz val="10"/>
        <color rgb="FF111827"/>
        <rFont val="Noto Sans CJK SC"/>
        <family val="2"/>
      </rPr>
      <t>리뷰 시 담당자 확인 필요</t>
    </r>
  </si>
  <si>
    <t>SLAS-TC-006</t>
  </si>
  <si>
    <t>SLAS-SRS-012</t>
  </si>
  <si>
    <r>
      <rPr>
        <sz val="10"/>
        <color rgb="FF111827"/>
        <rFont val="Calibri"/>
        <family val="2"/>
      </rPr>
      <t xml:space="preserve">WARNING </t>
    </r>
    <r>
      <rPr>
        <sz val="10"/>
        <color rgb="FF111827"/>
        <rFont val="Noto Sans CJK SC"/>
        <family val="2"/>
      </rPr>
      <t>모드에서 설정속도 변경 안내 미출력 확인</t>
    </r>
  </si>
  <si>
    <r>
      <rPr>
        <sz val="10"/>
        <color rgb="FF111827"/>
        <rFont val="Calibri"/>
        <family val="2"/>
      </rPr>
      <t xml:space="preserve">SLAS </t>
    </r>
    <r>
      <rPr>
        <sz val="10"/>
        <color rgb="FF111827"/>
        <rFont val="Noto Sans CJK SC"/>
        <family val="2"/>
      </rPr>
      <t>운용 모드</t>
    </r>
    <r>
      <rPr>
        <sz val="10"/>
        <color rgb="FF111827"/>
        <rFont val="Calibri"/>
        <family val="2"/>
      </rPr>
      <t>=WARNING</t>
    </r>
  </si>
  <si>
    <r>
      <rPr>
        <sz val="10"/>
        <color rgb="FF111827"/>
        <rFont val="Noto Sans CJK SC"/>
        <family val="2"/>
      </rPr>
      <t xml:space="preserve">설정속도 변경 안내 </t>
    </r>
    <r>
      <rPr>
        <sz val="10"/>
        <color rgb="FF111827"/>
        <rFont val="Calibri"/>
        <family val="2"/>
      </rPr>
      <t>= NONE</t>
    </r>
  </si>
  <si>
    <t>SLAS-TC-007</t>
  </si>
  <si>
    <t>SLAS-SRS-013</t>
  </si>
  <si>
    <r>
      <rPr>
        <sz val="10"/>
        <color rgb="FF111827"/>
        <rFont val="Noto Sans CJK SC"/>
        <family val="2"/>
      </rPr>
      <t>차량 속도 입력 하한 경계값</t>
    </r>
    <r>
      <rPr>
        <sz val="10"/>
        <color rgb="FF111827"/>
        <rFont val="Calibri"/>
        <family val="2"/>
      </rPr>
      <t xml:space="preserve">(0) </t>
    </r>
    <r>
      <rPr>
        <sz val="10"/>
        <color rgb="FF111827"/>
        <rFont val="Noto Sans CJK SC"/>
        <family val="2"/>
      </rPr>
      <t>유효성 확인</t>
    </r>
  </si>
  <si>
    <t>BV</t>
  </si>
  <si>
    <r>
      <rPr>
        <sz val="10"/>
        <color rgb="FF111827"/>
        <rFont val="Noto Sans CJK SC"/>
        <family val="2"/>
      </rPr>
      <t>차량 속도</t>
    </r>
    <r>
      <rPr>
        <sz val="10"/>
        <color rgb="FF111827"/>
        <rFont val="Calibri"/>
        <family val="2"/>
      </rPr>
      <t>=0km/h</t>
    </r>
  </si>
  <si>
    <r>
      <rPr>
        <sz val="10"/>
        <color rgb="FF111827"/>
        <rFont val="Noto Sans CJK SC"/>
        <family val="2"/>
      </rPr>
      <t xml:space="preserve">유효한 입력으로 처리됨 </t>
    </r>
    <r>
      <rPr>
        <sz val="10"/>
        <color rgb="FF111827"/>
        <rFont val="Calibri"/>
        <family val="2"/>
      </rPr>
      <t xml:space="preserve">(INVALID_INPUT </t>
    </r>
    <r>
      <rPr>
        <sz val="10"/>
        <color rgb="FF111827"/>
        <rFont val="Noto Sans CJK SC"/>
        <family val="2"/>
      </rPr>
      <t>미발생</t>
    </r>
    <r>
      <rPr>
        <sz val="10"/>
        <color rgb="FF111827"/>
        <rFont val="Calibri"/>
        <family val="2"/>
      </rPr>
      <t>)</t>
    </r>
  </si>
  <si>
    <t>하한 경계값</t>
  </si>
  <si>
    <t>SLAS-SRS-014</t>
  </si>
  <si>
    <r>
      <rPr>
        <sz val="10"/>
        <color rgb="FF111827"/>
        <rFont val="Noto Sans CJK SC"/>
        <family val="2"/>
      </rPr>
      <t>제한속도 입력 하한 경계값</t>
    </r>
    <r>
      <rPr>
        <sz val="10"/>
        <color rgb="FF111827"/>
        <rFont val="Calibri"/>
        <family val="2"/>
      </rPr>
      <t xml:space="preserve">(30) </t>
    </r>
    <r>
      <rPr>
        <sz val="10"/>
        <color rgb="FF111827"/>
        <rFont val="Noto Sans CJK SC"/>
        <family val="2"/>
      </rPr>
      <t>유효성 확인</t>
    </r>
  </si>
  <si>
    <r>
      <rPr>
        <sz val="10"/>
        <color rgb="FF111827"/>
        <rFont val="Noto Sans CJK SC"/>
        <family val="2"/>
      </rPr>
      <t>카메라 인식 제한속도</t>
    </r>
    <r>
      <rPr>
        <sz val="10"/>
        <color rgb="FF111827"/>
        <rFont val="Calibri"/>
        <family val="2"/>
      </rPr>
      <t>=30km/h</t>
    </r>
  </si>
  <si>
    <t>SLAS-SRS-015</t>
  </si>
  <si>
    <r>
      <rPr>
        <sz val="10"/>
        <color rgb="FF111827"/>
        <rFont val="Calibri"/>
        <family val="2"/>
      </rPr>
      <t xml:space="preserve">Offset </t>
    </r>
    <r>
      <rPr>
        <sz val="10"/>
        <color rgb="FF111827"/>
        <rFont val="Noto Sans CJK SC"/>
        <family val="2"/>
      </rPr>
      <t>입력 하한 경계값</t>
    </r>
    <r>
      <rPr>
        <sz val="10"/>
        <color rgb="FF111827"/>
        <rFont val="Calibri"/>
        <family val="2"/>
      </rPr>
      <t xml:space="preserve">(-10) </t>
    </r>
    <r>
      <rPr>
        <sz val="10"/>
        <color rgb="FF111827"/>
        <rFont val="Noto Sans CJK SC"/>
        <family val="2"/>
      </rPr>
      <t>유효성 확인</t>
    </r>
  </si>
  <si>
    <r>
      <rPr>
        <sz val="10"/>
        <color rgb="FF111827"/>
        <rFont val="Noto Sans CJK SC"/>
        <family val="2"/>
      </rPr>
      <t xml:space="preserve">속도 보정값 </t>
    </r>
    <r>
      <rPr>
        <sz val="10"/>
        <color rgb="FF111827"/>
        <rFont val="Calibri"/>
        <family val="2"/>
      </rPr>
      <t>Offset=-10km/h</t>
    </r>
  </si>
  <si>
    <t>SLAS-SRS-016</t>
  </si>
  <si>
    <r>
      <rPr>
        <sz val="10"/>
        <color rgb="FF111827"/>
        <rFont val="Calibri"/>
        <family val="2"/>
      </rPr>
      <t xml:space="preserve">ACC/MSLA </t>
    </r>
    <r>
      <rPr>
        <sz val="10"/>
        <color rgb="FF111827"/>
        <rFont val="Noto Sans CJK SC"/>
        <family val="2"/>
      </rPr>
      <t>설정속도 입력 하한 경계값</t>
    </r>
    <r>
      <rPr>
        <sz val="10"/>
        <color rgb="FF111827"/>
        <rFont val="Calibri"/>
        <family val="2"/>
      </rPr>
      <t xml:space="preserve">(30) </t>
    </r>
    <r>
      <rPr>
        <sz val="10"/>
        <color rgb="FF111827"/>
        <rFont val="Noto Sans CJK SC"/>
        <family val="2"/>
      </rPr>
      <t>유효성 확인</t>
    </r>
  </si>
  <si>
    <r>
      <rPr>
        <sz val="10"/>
        <color rgb="FF111827"/>
        <rFont val="Noto Sans CJK SC"/>
        <family val="2"/>
      </rPr>
      <t xml:space="preserve">현재 </t>
    </r>
    <r>
      <rPr>
        <sz val="10"/>
        <color rgb="FF111827"/>
        <rFont val="Calibri"/>
        <family val="2"/>
      </rPr>
      <t xml:space="preserve">ACC/MSLA </t>
    </r>
    <r>
      <rPr>
        <sz val="10"/>
        <color rgb="FF111827"/>
        <rFont val="Noto Sans CJK SC"/>
        <family val="2"/>
      </rPr>
      <t>설정속도</t>
    </r>
    <r>
      <rPr>
        <sz val="10"/>
        <color rgb="FF111827"/>
        <rFont val="Calibri"/>
        <family val="2"/>
      </rPr>
      <t>=30km/h</t>
    </r>
  </si>
  <si>
    <t>SLAS Requirements Traceability</t>
  </si>
  <si>
    <r>
      <rPr>
        <b/>
        <sz val="11"/>
        <color rgb="FF111827"/>
        <rFont val="Calibri"/>
        <family val="2"/>
      </rPr>
      <t>SRS ID</t>
    </r>
    <r>
      <rPr>
        <b/>
        <sz val="11"/>
        <color rgb="FF111827"/>
        <rFont val="Noto Sans CJK SC"/>
        <family val="2"/>
      </rPr>
      <t xml:space="preserve">가 </t>
    </r>
    <r>
      <rPr>
        <b/>
        <sz val="11"/>
        <color rgb="FF111827"/>
        <rFont val="Calibri"/>
        <family val="2"/>
      </rPr>
      <t>TC</t>
    </r>
    <r>
      <rPr>
        <b/>
        <sz val="11"/>
        <color rgb="FF111827"/>
        <rFont val="Noto Sans CJK SC"/>
        <family val="2"/>
      </rPr>
      <t xml:space="preserve">에 최소 </t>
    </r>
    <r>
      <rPr>
        <b/>
        <sz val="11"/>
        <color rgb="FF111827"/>
        <rFont val="Calibri"/>
        <family val="2"/>
      </rPr>
      <t>1</t>
    </r>
    <r>
      <rPr>
        <b/>
        <sz val="11"/>
        <color rgb="FF111827"/>
        <rFont val="Noto Sans CJK SC"/>
        <family val="2"/>
      </rPr>
      <t>회 이상 연결되었는지 확인한다</t>
    </r>
    <r>
      <rPr>
        <b/>
        <sz val="11"/>
        <color rgb="FF111827"/>
        <rFont val="Calibri"/>
        <family val="2"/>
      </rPr>
      <t>. (</t>
    </r>
    <r>
      <rPr>
        <b/>
        <sz val="11"/>
        <color rgb="FF111827"/>
        <rFont val="Noto Sans CJK SC"/>
        <family val="2"/>
      </rPr>
      <t xml:space="preserve">요구사항 커버리지 </t>
    </r>
    <r>
      <rPr>
        <b/>
        <sz val="11"/>
        <color rgb="FF111827"/>
        <rFont val="Calibri"/>
        <family val="2"/>
      </rPr>
      <t>100%)</t>
    </r>
  </si>
  <si>
    <t>Requirement ID</t>
  </si>
  <si>
    <t>Requirement Summary</t>
  </si>
  <si>
    <t>Mapped TC Count</t>
  </si>
  <si>
    <t>Coverage Status</t>
  </si>
  <si>
    <t>Related TC ID</t>
  </si>
  <si>
    <t>Coverage Note</t>
  </si>
  <si>
    <t>SLAS-SRS-001</t>
  </si>
  <si>
    <t>유효한 제한속도 정보 표시</t>
  </si>
  <si>
    <t>SLAS-SRS-002</t>
  </si>
  <si>
    <t>제한속도 정보 없음 표시</t>
  </si>
  <si>
    <r>
      <rPr>
        <sz val="10"/>
        <color rgb="FF111827"/>
        <rFont val="Calibri"/>
        <family val="2"/>
      </rPr>
      <t xml:space="preserve">OFF </t>
    </r>
    <r>
      <rPr>
        <sz val="10"/>
        <color rgb="FF111827"/>
        <rFont val="Noto Sans CJK SC"/>
        <family val="2"/>
      </rPr>
      <t xml:space="preserve">모드 </t>
    </r>
    <r>
      <rPr>
        <sz val="10"/>
        <color rgb="FF111827"/>
        <rFont val="Calibri"/>
        <family val="2"/>
      </rPr>
      <t xml:space="preserve">SLAS </t>
    </r>
    <r>
      <rPr>
        <sz val="10"/>
        <color rgb="FF111827"/>
        <rFont val="Noto Sans CJK SC"/>
        <family val="2"/>
      </rPr>
      <t xml:space="preserve">보조 표시 </t>
    </r>
    <r>
      <rPr>
        <sz val="10"/>
        <color rgb="FF111827"/>
        <rFont val="Calibri"/>
        <family val="2"/>
      </rPr>
      <t>OFF</t>
    </r>
  </si>
  <si>
    <r>
      <rPr>
        <sz val="10"/>
        <color rgb="FF111827"/>
        <rFont val="Calibri"/>
        <family val="2"/>
      </rPr>
      <t xml:space="preserve">OFF </t>
    </r>
    <r>
      <rPr>
        <sz val="10"/>
        <color rgb="FF111827"/>
        <rFont val="Noto Sans CJK SC"/>
        <family val="2"/>
      </rPr>
      <t>모드 경고</t>
    </r>
    <r>
      <rPr>
        <sz val="10"/>
        <color rgb="FF111827"/>
        <rFont val="Calibri"/>
        <family val="2"/>
      </rPr>
      <t>/</t>
    </r>
    <r>
      <rPr>
        <sz val="10"/>
        <color rgb="FF111827"/>
        <rFont val="Noto Sans CJK SC"/>
        <family val="2"/>
      </rPr>
      <t>안내 억제</t>
    </r>
  </si>
  <si>
    <t>SLAS-SRS-005</t>
  </si>
  <si>
    <t>경고 임계값 이하 경고 없음</t>
  </si>
  <si>
    <t>SLAS-SRS-006</t>
  </si>
  <si>
    <t>경고 임계값 초과 경고</t>
  </si>
  <si>
    <t>SLAS-SRS-007</t>
  </si>
  <si>
    <r>
      <rPr>
        <sz val="10"/>
        <color rgb="FF111827"/>
        <rFont val="Calibri"/>
        <family val="2"/>
      </rPr>
      <t xml:space="preserve">90% </t>
    </r>
    <r>
      <rPr>
        <sz val="10"/>
        <color rgb="FF111827"/>
        <rFont val="Noto Sans CJK SC"/>
        <family val="2"/>
      </rPr>
      <t xml:space="preserve">미만 </t>
    </r>
    <r>
      <rPr>
        <sz val="10"/>
        <color rgb="FF111827"/>
        <rFont val="Calibri"/>
        <family val="2"/>
      </rPr>
      <t>GREEN</t>
    </r>
  </si>
  <si>
    <t>SLAS-SRS-008</t>
  </si>
  <si>
    <r>
      <rPr>
        <sz val="10"/>
        <color rgb="FF111827"/>
        <rFont val="Calibri"/>
        <family val="2"/>
      </rPr>
      <t xml:space="preserve">90% </t>
    </r>
    <r>
      <rPr>
        <sz val="10"/>
        <color rgb="FF111827"/>
        <rFont val="Noto Sans CJK SC"/>
        <family val="2"/>
      </rPr>
      <t xml:space="preserve">이상 임계값 이하 </t>
    </r>
    <r>
      <rPr>
        <sz val="10"/>
        <color rgb="FF111827"/>
        <rFont val="Calibri"/>
        <family val="2"/>
      </rPr>
      <t>AMBER</t>
    </r>
  </si>
  <si>
    <t>SLAS-SRS-009</t>
  </si>
  <si>
    <r>
      <rPr>
        <sz val="10"/>
        <color rgb="FF111827"/>
        <rFont val="Noto Sans CJK SC"/>
        <family val="2"/>
      </rPr>
      <t xml:space="preserve">임계값 초과 </t>
    </r>
    <r>
      <rPr>
        <sz val="10"/>
        <color rgb="FF111827"/>
        <rFont val="Calibri"/>
        <family val="2"/>
      </rPr>
      <t>RED</t>
    </r>
  </si>
  <si>
    <r>
      <rPr>
        <sz val="10"/>
        <color rgb="FF111827"/>
        <rFont val="Calibri"/>
        <family val="2"/>
      </rPr>
      <t xml:space="preserve">ASSIST UP </t>
    </r>
    <r>
      <rPr>
        <sz val="10"/>
        <color rgb="FF111827"/>
        <rFont val="Noto Sans CJK SC"/>
        <family val="2"/>
      </rPr>
      <t>안내</t>
    </r>
  </si>
  <si>
    <r>
      <rPr>
        <sz val="10"/>
        <color rgb="FF111827"/>
        <rFont val="Calibri"/>
        <family val="2"/>
      </rPr>
      <t xml:space="preserve">ASSIST DOWN </t>
    </r>
    <r>
      <rPr>
        <sz val="10"/>
        <color rgb="FF111827"/>
        <rFont val="Noto Sans CJK SC"/>
        <family val="2"/>
      </rPr>
      <t>안내</t>
    </r>
  </si>
  <si>
    <r>
      <rPr>
        <sz val="10"/>
        <color rgb="FF111827"/>
        <rFont val="Calibri"/>
        <family val="2"/>
      </rPr>
      <t xml:space="preserve">WARNING </t>
    </r>
    <r>
      <rPr>
        <sz val="10"/>
        <color rgb="FF111827"/>
        <rFont val="Noto Sans CJK SC"/>
        <family val="2"/>
      </rPr>
      <t>안내 억제</t>
    </r>
  </si>
  <si>
    <t>차량 속도 입력 유효성</t>
  </si>
  <si>
    <t>제한속도 입력 유효성</t>
  </si>
  <si>
    <r>
      <rPr>
        <sz val="10"/>
        <color rgb="FF111827"/>
        <rFont val="Calibri"/>
        <family val="2"/>
      </rPr>
      <t xml:space="preserve">Offset </t>
    </r>
    <r>
      <rPr>
        <sz val="10"/>
        <color rgb="FF111827"/>
        <rFont val="Noto Sans CJK SC"/>
        <family val="2"/>
      </rPr>
      <t>입력 유효성</t>
    </r>
  </si>
  <si>
    <r>
      <rPr>
        <sz val="10"/>
        <color rgb="FF111827"/>
        <rFont val="Noto Sans CJK SC"/>
        <family val="2"/>
      </rPr>
      <t xml:space="preserve">현재 </t>
    </r>
    <r>
      <rPr>
        <sz val="10"/>
        <color rgb="FF111827"/>
        <rFont val="Calibri"/>
        <family val="2"/>
      </rPr>
      <t xml:space="preserve">ACC/MSLA </t>
    </r>
    <r>
      <rPr>
        <sz val="10"/>
        <color rgb="FF111827"/>
        <rFont val="Noto Sans CJK SC"/>
        <family val="2"/>
      </rPr>
      <t>설정속도 입력 유효성</t>
    </r>
  </si>
  <si>
    <t>SLAS-SRS-017</t>
  </si>
  <si>
    <t>입력 오류 처리</t>
  </si>
  <si>
    <t>SLAS-SRS-018</t>
  </si>
  <si>
    <t>시동 후 초기화 상태</t>
  </si>
  <si>
    <t>SLAS-SRS-019</t>
  </si>
  <si>
    <t>카메라 정상 상태 우선 적용</t>
  </si>
  <si>
    <t>SLAS-SRS-020</t>
  </si>
  <si>
    <r>
      <rPr>
        <sz val="10"/>
        <color rgb="FF111827"/>
        <rFont val="Calibri"/>
        <family val="2"/>
      </rPr>
      <t xml:space="preserve">LOW_CONFIDENCE </t>
    </r>
    <r>
      <rPr>
        <sz val="10"/>
        <color rgb="FF111827"/>
        <rFont val="Noto Sans CJK SC"/>
        <family val="2"/>
      </rPr>
      <t>내비 적용</t>
    </r>
  </si>
  <si>
    <t>SLAS-SRS-021</t>
  </si>
  <si>
    <r>
      <rPr>
        <sz val="10"/>
        <color rgb="FF111827"/>
        <rFont val="Calibri"/>
        <family val="2"/>
      </rPr>
      <t xml:space="preserve">MIN_SPEED </t>
    </r>
    <r>
      <rPr>
        <sz val="10"/>
        <color rgb="FF111827"/>
        <rFont val="Noto Sans CJK SC"/>
        <family val="2"/>
      </rPr>
      <t>미적용</t>
    </r>
  </si>
  <si>
    <t>SLAS-SRS-022</t>
  </si>
  <si>
    <r>
      <rPr>
        <sz val="10"/>
        <color rgb="FF111827"/>
        <rFont val="Calibri"/>
        <family val="2"/>
      </rPr>
      <t xml:space="preserve">UNKNOWN </t>
    </r>
    <r>
      <rPr>
        <sz val="10"/>
        <color rgb="FF111827"/>
        <rFont val="Noto Sans CJK SC"/>
        <family val="2"/>
      </rPr>
      <t>내비 적용</t>
    </r>
  </si>
  <si>
    <t>SLAS-SRS-023</t>
  </si>
  <si>
    <r>
      <rPr>
        <sz val="10"/>
        <color rgb="FF111827"/>
        <rFont val="Calibri"/>
        <family val="2"/>
      </rPr>
      <t xml:space="preserve">MAIN_ROAD </t>
    </r>
    <r>
      <rPr>
        <sz val="10"/>
        <color rgb="FF111827"/>
        <rFont val="Noto Sans CJK SC"/>
        <family val="2"/>
      </rPr>
      <t>복수 표지판 우선순위</t>
    </r>
  </si>
  <si>
    <t>SLAS-SRS-024</t>
  </si>
  <si>
    <r>
      <rPr>
        <sz val="10"/>
        <color rgb="FF111827"/>
        <rFont val="Calibri"/>
        <family val="2"/>
      </rPr>
      <t xml:space="preserve">EXIT_ROAD </t>
    </r>
    <r>
      <rPr>
        <sz val="10"/>
        <color rgb="FF111827"/>
        <rFont val="Noto Sans CJK SC"/>
        <family val="2"/>
      </rPr>
      <t>복수 표지판 적용</t>
    </r>
  </si>
  <si>
    <t>SLAS-SRS-025</t>
  </si>
  <si>
    <r>
      <rPr>
        <sz val="10"/>
        <color rgb="FF111827"/>
        <rFont val="Calibri"/>
        <family val="2"/>
      </rPr>
      <t xml:space="preserve">BLOCKED </t>
    </r>
    <r>
      <rPr>
        <sz val="10"/>
        <color rgb="FF111827"/>
        <rFont val="Noto Sans CJK SC"/>
        <family val="2"/>
      </rPr>
      <t>메시지</t>
    </r>
  </si>
  <si>
    <t>SLAS-SRS-026</t>
  </si>
  <si>
    <r>
      <rPr>
        <sz val="10"/>
        <color rgb="FF111827"/>
        <rFont val="Calibri"/>
        <family val="2"/>
      </rPr>
      <t xml:space="preserve">BLOCKED </t>
    </r>
    <r>
      <rPr>
        <sz val="10"/>
        <color rgb="FF111827"/>
        <rFont val="Noto Sans CJK SC"/>
        <family val="2"/>
      </rPr>
      <t>보조 표시</t>
    </r>
    <r>
      <rPr>
        <sz val="10"/>
        <color rgb="FF111827"/>
        <rFont val="Calibri"/>
        <family val="2"/>
      </rPr>
      <t>/</t>
    </r>
    <r>
      <rPr>
        <sz val="10"/>
        <color rgb="FF111827"/>
        <rFont val="Noto Sans CJK SC"/>
        <family val="2"/>
      </rPr>
      <t>경고</t>
    </r>
    <r>
      <rPr>
        <sz val="10"/>
        <color rgb="FF111827"/>
        <rFont val="Calibri"/>
        <family val="2"/>
      </rPr>
      <t>/</t>
    </r>
    <r>
      <rPr>
        <sz val="10"/>
        <color rgb="FF111827"/>
        <rFont val="Noto Sans CJK SC"/>
        <family val="2"/>
      </rPr>
      <t>안내 억제</t>
    </r>
  </si>
  <si>
    <t>SLAS-SRS-027</t>
  </si>
  <si>
    <t>이전 표시 제한속도 미사용</t>
  </si>
  <si>
    <t>SLAS-SRS-028</t>
  </si>
  <si>
    <t>카메라 초기화 상태</t>
  </si>
  <si>
    <t>SLAS-SRS-029</t>
  </si>
  <si>
    <t>기능 제한 상태 색상 강조 금지</t>
  </si>
  <si>
    <t>SLAS-SRS-030</t>
  </si>
  <si>
    <t>적용 제한속도 출처 출력</t>
  </si>
  <si>
    <t>SLAS-SRS-031</t>
  </si>
  <si>
    <t>내비 출처 표시</t>
  </si>
  <si>
    <t>SLAS-SRS-032</t>
  </si>
  <si>
    <t>카메라 출처 표시</t>
  </si>
  <si>
    <t>04_SLAS Unit Test Result</t>
  </si>
  <si>
    <t>테스트 함수명</t>
  </si>
  <si>
    <t>대상 함수</t>
  </si>
  <si>
    <t>테스트 목적</t>
  </si>
  <si>
    <r>
      <rPr>
        <b/>
        <sz val="11"/>
        <rFont val="Noto Sans CJK SC"/>
        <family val="2"/>
      </rPr>
      <t xml:space="preserve">관련 </t>
    </r>
    <r>
      <rPr>
        <b/>
        <sz val="11"/>
        <rFont val="Arial"/>
        <family val="2"/>
        <charset val="1"/>
      </rPr>
      <t>SRS ID</t>
    </r>
  </si>
  <si>
    <t>입력값</t>
  </si>
  <si>
    <t>기대 결과</t>
  </si>
  <si>
    <t>실제 결과</t>
  </si>
  <si>
    <t>Pass/Fail</t>
  </si>
  <si>
    <t>비고</t>
  </si>
  <si>
    <t>단위 테스트 요약</t>
  </si>
  <si>
    <t>총 테스트 수</t>
  </si>
  <si>
    <t>Statement Coverage (gcov)</t>
  </si>
  <si>
    <t>Pre-condition</t>
    <phoneticPr fontId="19" type="noConversion"/>
  </si>
  <si>
    <t>1 . SLAS 운용 모드를 OFF로 설정
2 . 차량 속도를 경고 임계값 초과로 설정
3 . 과속 경고/설정속도 변경 안내 출력 여부 확인</t>
  </si>
  <si>
    <t>1 . SLAS 운용 모드를 ASSIST로 설정
2 . 현재 ACC/MSLA 설정속도를 적용 제한속도보다 낮게 설정
3 . 설정속도 변경 안내 확인</t>
  </si>
  <si>
    <t>1 . SLAS 운용 모드를 ASSIST로 설정
2 . 현재 ACC/MSLA 설정속도를 적용 제한속도보다 높게 설정
3 . 설정속도 변경 안내 확인</t>
  </si>
  <si>
    <t>1 . SLAS 운용 모드를 ASSIST로 설정
2 . 현재 ACC/MSLA 설정속도를 적용 제한속도와 동일하게 설정
3 . 설정속도 변경 안내 확인</t>
  </si>
  <si>
    <t>1 . SLAS 운용 모드를 WARNING으로 설정
2 . 기본 조건으로 시스템 실행
3 . 설정속도 변경 안내 확인</t>
  </si>
  <si>
    <t>1 . 차량 속도를 0km/h로 설정
2 . 입력 유효성 판정 결과 확인</t>
  </si>
  <si>
    <t>1 . 카메라 인식 제한속도를 30km/h로 설정
2 . 입력 유효성 판정 결과 확인</t>
  </si>
  <si>
    <t>1 . 속도 보정값 Offset을 -10km/h로 설정
2 . 입력 유효성 판정 결과 확인</t>
  </si>
  <si>
    <t>1 . 현재 ACC/MSLA 설정속도를 30km/h로 설정
2 . 입력 유효성 판정 결과 확인</t>
  </si>
  <si>
    <t>SLAS 운용 모드=OFF, 차량 속도=90km/h(임계값 초과), 현재 설정속도=70km/h</t>
  </si>
  <si>
    <t>SLAS 운용 모드=ASSIST, 현재 ACC/MSLA 설정속도=70km/h, 적용 제한속도=80km/h</t>
  </si>
  <si>
    <t>SLAS 운용 모드=ASSIST, 현재 ACC/MSLA 설정속도=90km/h, 적용 제한속도=80km/h</t>
  </si>
  <si>
    <t>SLAS 운용 모드=ASSIST, 현재 ACC/MSLA 설정속도=80km/h, 적용 제한속도=80km/h</t>
  </si>
  <si>
    <r>
      <t xml:space="preserve">1 . SLAS </t>
    </r>
    <r>
      <rPr>
        <sz val="10"/>
        <color rgb="FF111827"/>
        <rFont val="맑은 고딕"/>
        <family val="3"/>
        <charset val="129"/>
      </rPr>
      <t>운용</t>
    </r>
    <r>
      <rPr>
        <sz val="10"/>
        <color rgb="FF111827"/>
        <rFont val="Calibri"/>
        <family val="2"/>
      </rPr>
      <t xml:space="preserve"> </t>
    </r>
    <r>
      <rPr>
        <sz val="10"/>
        <color rgb="FF111827"/>
        <rFont val="맑은 고딕"/>
        <family val="3"/>
        <charset val="129"/>
      </rPr>
      <t>모드를</t>
    </r>
    <r>
      <rPr>
        <sz val="10"/>
        <color rgb="FF111827"/>
        <rFont val="Calibri"/>
        <family val="2"/>
      </rPr>
      <t xml:space="preserve"> OFF</t>
    </r>
    <r>
      <rPr>
        <sz val="10"/>
        <color rgb="FF111827"/>
        <rFont val="맑은 고딕"/>
        <family val="3"/>
        <charset val="129"/>
      </rPr>
      <t>로</t>
    </r>
    <r>
      <rPr>
        <sz val="10"/>
        <color rgb="FF111827"/>
        <rFont val="Calibri"/>
        <family val="2"/>
      </rPr>
      <t xml:space="preserve"> </t>
    </r>
    <r>
      <rPr>
        <sz val="10"/>
        <color rgb="FF111827"/>
        <rFont val="맑은 고딕"/>
        <family val="3"/>
        <charset val="129"/>
      </rPr>
      <t xml:space="preserve">설정
</t>
    </r>
    <r>
      <rPr>
        <sz val="10"/>
        <color rgb="FF111827"/>
        <rFont val="Calibri"/>
        <family val="2"/>
      </rPr>
      <t xml:space="preserve">2 . </t>
    </r>
    <r>
      <rPr>
        <sz val="10"/>
        <color rgb="FF111827"/>
        <rFont val="맑은 고딕"/>
        <family val="3"/>
        <charset val="129"/>
      </rPr>
      <t>시스템</t>
    </r>
    <r>
      <rPr>
        <sz val="10"/>
        <color rgb="FF111827"/>
        <rFont val="Calibri"/>
        <family val="2"/>
      </rPr>
      <t xml:space="preserve"> </t>
    </r>
    <r>
      <rPr>
        <sz val="10"/>
        <color rgb="FF111827"/>
        <rFont val="맑은 고딕"/>
        <family val="3"/>
        <charset val="129"/>
      </rPr>
      <t xml:space="preserve">실행
</t>
    </r>
    <r>
      <rPr>
        <sz val="10"/>
        <color rgb="FF111827"/>
        <rFont val="Calibri"/>
        <family val="2"/>
      </rPr>
      <t xml:space="preserve">3 . SLAS </t>
    </r>
    <r>
      <rPr>
        <sz val="10"/>
        <color rgb="FF111827"/>
        <rFont val="맑은 고딕"/>
        <family val="3"/>
        <charset val="129"/>
      </rPr>
      <t>보조</t>
    </r>
    <r>
      <rPr>
        <sz val="10"/>
        <color rgb="FF111827"/>
        <rFont val="Calibri"/>
        <family val="2"/>
      </rPr>
      <t xml:space="preserve"> </t>
    </r>
    <r>
      <rPr>
        <sz val="10"/>
        <color rgb="FF111827"/>
        <rFont val="맑은 고딕"/>
        <family val="3"/>
        <charset val="129"/>
      </rPr>
      <t>표시</t>
    </r>
    <r>
      <rPr>
        <sz val="10"/>
        <color rgb="FF111827"/>
        <rFont val="Calibri"/>
        <family val="2"/>
      </rPr>
      <t xml:space="preserve"> </t>
    </r>
    <r>
      <rPr>
        <sz val="10"/>
        <color rgb="FF111827"/>
        <rFont val="맑은 고딕"/>
        <family val="3"/>
        <charset val="129"/>
      </rPr>
      <t>색상</t>
    </r>
    <r>
      <rPr>
        <sz val="10"/>
        <color rgb="FF111827"/>
        <rFont val="Calibri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</t>
    </r>
    <phoneticPr fontId="19" type="noConversion"/>
  </si>
  <si>
    <t>SLAS 운용 모드를 OFF로 설정하고, 기능 제한 메시지가 NONE인 정상 상태에서 테스트</t>
  </si>
  <si>
    <t>SLAS 운용 모드를 WARNING으로 설정</t>
  </si>
  <si>
    <t>차량 속도를 0km/h로 설정</t>
  </si>
  <si>
    <t>카메라 인식 제한속도를 30km/h로 설정</t>
  </si>
  <si>
    <t>속도 보정값 Offset을 -10km/h로 설정</t>
  </si>
  <si>
    <t>현재 ACC/MSLA 설정속도를 30km/h로 설정</t>
  </si>
  <si>
    <t xml:space="preserve">SLAS 운용 모드를 ASSIST로 설정하고, 현재 ACC/MSLA 설정속도를 90km/h로 설정하여 적용 제한속도(80km/h)보다 높게  </t>
  </si>
  <si>
    <t xml:space="preserve">SLAS 운용 모드를 ASSIST로 설정하고, 현재 ACC/MSLA 설정속도를 80km/h로 설정하여 적용 제한속도(80km/h)와 동일하게  </t>
  </si>
  <si>
    <r>
      <t xml:space="preserve">SLAS </t>
    </r>
    <r>
      <rPr>
        <sz val="10"/>
        <color rgb="FF111827"/>
        <rFont val="맑은 고딕"/>
        <family val="3"/>
        <charset val="129"/>
      </rPr>
      <t>운용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모드를</t>
    </r>
    <r>
      <rPr>
        <sz val="10"/>
        <color rgb="FF111827"/>
        <rFont val="Arial"/>
        <family val="2"/>
      </rPr>
      <t xml:space="preserve"> OFF</t>
    </r>
    <r>
      <rPr>
        <sz val="10"/>
        <color rgb="FF111827"/>
        <rFont val="맑은 고딕"/>
        <family val="3"/>
        <charset val="129"/>
      </rPr>
      <t>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설정하고</t>
    </r>
    <r>
      <rPr>
        <sz val="10"/>
        <color rgb="FF111827"/>
        <rFont val="Arial"/>
        <family val="2"/>
      </rPr>
      <t xml:space="preserve">, </t>
    </r>
    <r>
      <rPr>
        <sz val="10"/>
        <color rgb="FF111827"/>
        <rFont val="맑은 고딕"/>
        <family val="3"/>
        <charset val="129"/>
      </rPr>
      <t>차량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속도를</t>
    </r>
    <r>
      <rPr>
        <sz val="10"/>
        <color rgb="FF111827"/>
        <rFont val="Arial"/>
        <family val="2"/>
      </rPr>
      <t xml:space="preserve"> 90km/h, </t>
    </r>
    <r>
      <rPr>
        <sz val="10"/>
        <color rgb="FF111827"/>
        <rFont val="맑은 고딕"/>
        <family val="3"/>
        <charset val="129"/>
      </rPr>
      <t>현재</t>
    </r>
    <r>
      <rPr>
        <sz val="10"/>
        <color rgb="FF111827"/>
        <rFont val="Arial"/>
        <family val="2"/>
      </rPr>
      <t xml:space="preserve"> ACC/MSLA </t>
    </r>
    <r>
      <rPr>
        <sz val="10"/>
        <color rgb="FF111827"/>
        <rFont val="맑은 고딕"/>
        <family val="3"/>
        <charset val="129"/>
      </rPr>
      <t>설정속도를</t>
    </r>
    <r>
      <rPr>
        <sz val="10"/>
        <color rgb="FF111827"/>
        <rFont val="Arial"/>
        <family val="2"/>
      </rPr>
      <t xml:space="preserve"> 70km/h</t>
    </r>
    <r>
      <rPr>
        <sz val="10"/>
        <color rgb="FF111827"/>
        <rFont val="맑은 고딕"/>
        <family val="3"/>
        <charset val="129"/>
      </rPr>
      <t>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설정하여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과속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경고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및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설정속도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변경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안내가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발생할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수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있는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조건을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의도적으로</t>
    </r>
    <r>
      <rPr>
        <sz val="10"/>
        <color rgb="FF111827"/>
        <rFont val="Arial"/>
        <family val="2"/>
      </rPr>
      <t xml:space="preserve">   </t>
    </r>
    <r>
      <rPr>
        <sz val="10"/>
        <color rgb="FF111827"/>
        <rFont val="맑은 고딕"/>
        <family val="3"/>
        <charset val="129"/>
      </rPr>
      <t>기능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메시지는</t>
    </r>
    <r>
      <rPr>
        <sz val="10"/>
        <color rgb="FF111827"/>
        <rFont val="Arial"/>
        <family val="2"/>
      </rPr>
      <t xml:space="preserve"> NONE</t>
    </r>
    <r>
      <rPr>
        <sz val="10"/>
        <color rgb="FF111827"/>
        <rFont val="맑은 고딕"/>
        <family val="3"/>
        <charset val="129"/>
      </rPr>
      <t>인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정상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상태</t>
    </r>
    <phoneticPr fontId="19" type="noConversion"/>
  </si>
  <si>
    <r>
      <t xml:space="preserve">SLAS </t>
    </r>
    <r>
      <rPr>
        <sz val="10"/>
        <color rgb="FF111827"/>
        <rFont val="맑은 고딕"/>
        <family val="3"/>
        <charset val="129"/>
      </rPr>
      <t>운용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모드를</t>
    </r>
    <r>
      <rPr>
        <sz val="10"/>
        <color rgb="FF111827"/>
        <rFont val="Arial"/>
        <family val="2"/>
      </rPr>
      <t xml:space="preserve"> ASSIST</t>
    </r>
    <r>
      <rPr>
        <sz val="10"/>
        <color rgb="FF111827"/>
        <rFont val="맑은 고딕"/>
        <family val="3"/>
        <charset val="129"/>
      </rPr>
      <t>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설정하고</t>
    </r>
    <r>
      <rPr>
        <sz val="10"/>
        <color rgb="FF111827"/>
        <rFont val="Arial"/>
        <family val="2"/>
      </rPr>
      <t xml:space="preserve">, </t>
    </r>
    <r>
      <rPr>
        <sz val="10"/>
        <color rgb="FF111827"/>
        <rFont val="맑은 고딕"/>
        <family val="3"/>
        <charset val="129"/>
      </rPr>
      <t>현재</t>
    </r>
    <r>
      <rPr>
        <sz val="10"/>
        <color rgb="FF111827"/>
        <rFont val="Arial"/>
        <family val="2"/>
      </rPr>
      <t xml:space="preserve"> ACC/MSLA </t>
    </r>
    <r>
      <rPr>
        <sz val="10"/>
        <color rgb="FF111827"/>
        <rFont val="맑은 고딕"/>
        <family val="3"/>
        <charset val="129"/>
      </rPr>
      <t>설정속도를</t>
    </r>
    <r>
      <rPr>
        <sz val="10"/>
        <color rgb="FF111827"/>
        <rFont val="Arial"/>
        <family val="2"/>
      </rPr>
      <t xml:space="preserve"> 70km/h</t>
    </r>
    <r>
      <rPr>
        <sz val="10"/>
        <color rgb="FF111827"/>
        <rFont val="맑은 고딕"/>
        <family val="3"/>
        <charset val="129"/>
      </rPr>
      <t>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설정하여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적용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제한속도</t>
    </r>
    <r>
      <rPr>
        <sz val="10"/>
        <color rgb="FF111827"/>
        <rFont val="Arial"/>
        <family val="2"/>
      </rPr>
      <t>(80km/h)</t>
    </r>
    <r>
      <rPr>
        <sz val="10"/>
        <color rgb="FF111827"/>
        <rFont val="맑은 고딕"/>
        <family val="3"/>
        <charset val="129"/>
      </rPr>
      <t>보다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낮게</t>
    </r>
    <r>
      <rPr>
        <sz val="10"/>
        <color rgb="FF111827"/>
        <rFont val="Arial"/>
        <family val="2"/>
      </rPr>
      <t xml:space="preserve">  </t>
    </r>
    <phoneticPr fontId="19" type="noConversion"/>
  </si>
  <si>
    <t>SLAS-TC-008</t>
    <phoneticPr fontId="19" type="noConversion"/>
  </si>
  <si>
    <t>SLAS-TC-009</t>
    <phoneticPr fontId="19" type="noConversion"/>
  </si>
  <si>
    <t>SLAS-TC-010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</si>
</sst>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5">
    <font>
      <sz val="11"/>
      <name val="Calibri"/>
      <charset val="1"/>
    </font>
    <font>
      <b/>
      <sz val="18"/>
      <color rgb="FF000000"/>
      <name val="Calibri"/>
      <charset val="1"/>
    </font>
    <font>
      <b/>
      <sz val="10"/>
      <color rgb="FFFFFFFF"/>
      <name val="Calibri"/>
      <charset val="1"/>
    </font>
    <font>
      <sz val="10"/>
      <color rgb="FF111827"/>
      <name val="Calibri"/>
      <charset val="1"/>
    </font>
    <font>
      <b/>
      <sz val="11"/>
      <name val="Arial"/>
      <family val="2"/>
      <charset val="1"/>
    </font>
    <font>
      <b/>
      <sz val="18"/>
      <color rgb="FF111827"/>
      <name val="Calibri"/>
      <charset val="1"/>
    </font>
    <font>
      <b/>
      <sz val="10"/>
      <color rgb="FF475467"/>
      <name val="Calibri"/>
      <charset val="1"/>
    </font>
    <font>
      <b/>
      <sz val="10"/>
      <color rgb="FF111827"/>
      <name val="Calibri"/>
      <charset val="1"/>
    </font>
    <font>
      <sz val="10"/>
      <color rgb="FF111827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1"/>
      <color rgb="FF111827"/>
      <name val="Calibri"/>
      <family val="2"/>
    </font>
    <font>
      <b/>
      <sz val="11"/>
      <color rgb="FF111827"/>
      <name val="Noto Sans CJK SC"/>
      <family val="2"/>
    </font>
    <font>
      <b/>
      <sz val="14"/>
      <name val="Arial"/>
      <family val="2"/>
      <charset val="1"/>
    </font>
    <font>
      <b/>
      <sz val="11"/>
      <name val="Noto Sans CJK SC"/>
      <family val="2"/>
    </font>
    <font>
      <b/>
      <sz val="12"/>
      <name val="Noto Sans CJK SC"/>
      <family val="2"/>
    </font>
    <font>
      <sz val="11"/>
      <name val="Noto Sans CJK SC"/>
      <family val="2"/>
    </font>
    <font>
      <sz val="11"/>
      <name val="Calibri"/>
      <family val="2"/>
    </font>
    <font>
      <sz val="10"/>
      <color rgb="FF111827"/>
      <name val="Calibri"/>
      <family val="2"/>
    </font>
    <font>
      <sz val="8"/>
      <name val="돋움"/>
      <family val="3"/>
      <charset val="129"/>
    </font>
    <font>
      <sz val="10"/>
      <color rgb="FF111827"/>
      <name val="맑은 고딕"/>
      <family val="3"/>
      <charset val="129"/>
    </font>
    <font>
      <sz val="10"/>
      <color rgb="FF111827"/>
      <name val="Arial"/>
      <family val="2"/>
    </font>
    <font>
      <b/>
      <sz val="10"/>
      <color rgb="FF111827"/>
      <name val="Calibri"/>
      <family val="2"/>
    </font>
    <font>
      <sz val="10"/>
      <color rgb="FF111827"/>
      <name val="Calibri"/>
      <family val="2"/>
      <charset val="1"/>
    </font>
    <font>
      <sz val="10"/>
      <color rgb="FF111827"/>
      <name val="Noto Sans CJK SC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2F3B4D"/>
        <bgColor rgb="FF475467"/>
      </patternFill>
    </fill>
    <fill>
      <patternFill patternType="solid">
        <fgColor rgb="FFFFF200"/>
        <bgColor rgb="FFFFFF00"/>
      </patternFill>
    </fill>
    <fill>
      <patternFill patternType="solid">
        <fgColor rgb="FFDDEBF7"/>
        <bgColor rgb="FFDBE7F6"/>
      </patternFill>
    </fill>
    <fill>
      <patternFill patternType="solid">
        <fgColor rgb="FFEAF2F8"/>
        <bgColor rgb="FFF1F5F9"/>
      </patternFill>
    </fill>
    <fill>
      <patternFill patternType="solid">
        <fgColor rgb="FFE2F0D9"/>
        <bgColor rgb="FFDDEBF7"/>
      </patternFill>
    </fill>
    <fill>
      <patternFill patternType="solid">
        <fgColor rgb="FFDBE7F6"/>
        <bgColor rgb="FFDDEBF7"/>
      </patternFill>
    </fill>
    <fill>
      <patternFill patternType="solid">
        <fgColor rgb="FFF1F5F9"/>
        <bgColor rgb="FFEAF2F8"/>
      </patternFill>
    </fill>
    <fill>
      <patternFill patternType="solid">
        <fgColor rgb="FFFFFDE7"/>
        <bgColor rgb="FFFFFFF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7" fillId="0" borderId="0"/>
  </cellStyleXfs>
  <cellXfs count="29">
    <xf numFmtId="0" fontId="0" fillId="0" borderId="0" xfId="0"/>
    <xf numFmtId="0" fontId="0" fillId="0" borderId="0" xfId="0" applyFont="1"/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vertical="top" wrapText="1"/>
    </xf>
    <xf numFmtId="0" fontId="3" fillId="3" borderId="1" xfId="1" applyFont="1" applyFill="1" applyBorder="1" applyAlignment="1">
      <alignment vertical="top" wrapText="1"/>
    </xf>
    <xf numFmtId="176" fontId="3" fillId="3" borderId="1" xfId="1" applyNumberFormat="1" applyFont="1" applyFill="1" applyBorder="1" applyAlignment="1">
      <alignment vertical="top" wrapText="1"/>
    </xf>
    <xf numFmtId="0" fontId="4" fillId="0" borderId="0" xfId="0" applyFont="1"/>
    <xf numFmtId="176" fontId="0" fillId="0" borderId="0" xfId="0" applyNumberFormat="1" applyFont="1"/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vertical="top" wrapText="1"/>
    </xf>
    <xf numFmtId="0" fontId="6" fillId="0" borderId="0" xfId="1" applyFont="1" applyAlignment="1">
      <alignment wrapText="1"/>
    </xf>
    <xf numFmtId="0" fontId="13" fillId="0" borderId="0" xfId="0" applyFont="1"/>
    <xf numFmtId="0" fontId="4" fillId="7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0" fillId="0" borderId="2" xfId="0" applyFont="1" applyBorder="1"/>
    <xf numFmtId="0" fontId="15" fillId="0" borderId="0" xfId="0" applyFont="1"/>
    <xf numFmtId="0" fontId="16" fillId="8" borderId="0" xfId="0" applyFont="1" applyFill="1"/>
    <xf numFmtId="0" fontId="0" fillId="8" borderId="0" xfId="0" applyFont="1" applyFill="1"/>
    <xf numFmtId="176" fontId="0" fillId="9" borderId="0" xfId="0" applyNumberFormat="1" applyFont="1" applyFill="1"/>
    <xf numFmtId="0" fontId="18" fillId="0" borderId="1" xfId="1" applyFont="1" applyBorder="1" applyAlignment="1">
      <alignment vertical="top" wrapText="1"/>
    </xf>
    <xf numFmtId="0" fontId="22" fillId="5" borderId="1" xfId="1" applyFont="1" applyFill="1" applyBorder="1" applyAlignment="1">
      <alignment horizontal="center" vertical="center" wrapText="1"/>
    </xf>
    <xf numFmtId="0" fontId="23" fillId="0" borderId="1" xfId="1" applyFont="1" applyBorder="1" applyAlignment="1">
      <alignment vertical="top" wrapText="1"/>
    </xf>
    <xf numFmtId="0" fontId="24" fillId="0" borderId="1" xfId="0" applyFont="1" applyBorder="1" applyAlignment="1">
      <alignment vertical="top" wrapText="1"/>
    </xf>
    <xf numFmtId="0" fontId="1" fillId="0" borderId="0" xfId="1" applyFont="1" applyBorder="1" applyAlignment="1">
      <alignment horizontal="left"/>
    </xf>
    <xf numFmtId="0" fontId="5" fillId="0" borderId="0" xfId="1" applyFont="1" applyBorder="1" applyAlignment="1">
      <alignment horizontal="left"/>
    </xf>
    <xf numFmtId="0" fontId="6" fillId="0" borderId="0" xfId="1" applyFont="1" applyBorder="1" applyAlignment="1">
      <alignment wrapText="1"/>
    </xf>
    <xf numFmtId="0" fontId="11" fillId="0" borderId="0" xfId="1" applyFont="1" applyBorder="1" applyAlignment="1">
      <alignment horizontal="left" wrapText="1"/>
    </xf>
  </cellXfs>
  <cellStyles count="2">
    <cellStyle name="Normal" xfId="1" xr:uid="{00000000-0005-0000-0000-000006000000}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DDEBF7"/>
      <rgbColor rgb="FF660066"/>
      <rgbColor rgb="FFFF8080"/>
      <rgbColor rgb="FF0066CC"/>
      <rgbColor rgb="FFDB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1F5F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A6A6A6"/>
      <rgbColor rgb="FF003366"/>
      <rgbColor rgb="FF339966"/>
      <rgbColor rgb="FF111827"/>
      <rgbColor rgb="FF333300"/>
      <rgbColor rgb="FF993300"/>
      <rgbColor rgb="FF993366"/>
      <rgbColor rgb="FF333399"/>
      <rgbColor rgb="FF2F3B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zoomScale="115" zoomScaleNormal="115" workbookViewId="0">
      <selection activeCell="E21" sqref="E21"/>
    </sheetView>
  </sheetViews>
  <sheetFormatPr defaultColWidth="8.7109375" defaultRowHeight="15"/>
  <cols>
    <col min="1" max="1" width="23.7109375" style="1" customWidth="1"/>
    <col min="2" max="2" width="13.7109375" style="1" customWidth="1"/>
    <col min="3" max="3" width="4.42578125" style="1" customWidth="1"/>
    <col min="4" max="4" width="16.140625" style="1" customWidth="1"/>
    <col min="5" max="5" width="13.7109375" style="1" customWidth="1"/>
    <col min="6" max="6" width="4.42578125" style="1" customWidth="1"/>
    <col min="7" max="7" width="23.7109375" style="1" customWidth="1"/>
    <col min="8" max="8" width="13.7109375" style="1" customWidth="1"/>
  </cols>
  <sheetData>
    <row r="1" spans="1:8" ht="22.5" customHeight="1">
      <c r="A1" s="25" t="s">
        <v>0</v>
      </c>
      <c r="B1" s="25"/>
      <c r="C1" s="25"/>
      <c r="D1" s="25"/>
      <c r="E1" s="25"/>
      <c r="F1" s="25"/>
      <c r="G1" s="25"/>
      <c r="H1" s="25"/>
    </row>
    <row r="4" spans="1:8">
      <c r="A4" s="2" t="s">
        <v>1</v>
      </c>
      <c r="B4" s="2" t="s">
        <v>2</v>
      </c>
      <c r="C4" s="2"/>
      <c r="D4" s="2" t="s">
        <v>3</v>
      </c>
      <c r="E4" s="2" t="s">
        <v>2</v>
      </c>
      <c r="F4" s="2"/>
      <c r="G4" s="2" t="s">
        <v>4</v>
      </c>
      <c r="H4" s="2" t="s">
        <v>2</v>
      </c>
    </row>
    <row r="5" spans="1:8">
      <c r="A5" s="3" t="s">
        <v>5</v>
      </c>
      <c r="B5" s="4">
        <f>COUNTA('01_SLAS_Testcase'!$B$4:$B$165)</f>
        <v>10</v>
      </c>
      <c r="C5" s="3"/>
      <c r="D5" s="3" t="s">
        <v>6</v>
      </c>
      <c r="E5" s="4">
        <f>COUNTIF('01_SLAS_Testcase'!$L$4:$L$165,"Pass")</f>
        <v>0</v>
      </c>
      <c r="F5" s="3"/>
      <c r="G5" s="3" t="s">
        <v>7</v>
      </c>
      <c r="H5" s="4">
        <f>COUNTA('02_Requirements_Coverage'!$A$5:$A$104)</f>
        <v>32</v>
      </c>
    </row>
    <row r="6" spans="1:8">
      <c r="A6" s="3" t="s">
        <v>8</v>
      </c>
      <c r="B6" s="4">
        <f>E5+E6+E7</f>
        <v>0</v>
      </c>
      <c r="C6" s="3"/>
      <c r="D6" s="3" t="s">
        <v>9</v>
      </c>
      <c r="E6" s="4">
        <f>COUNTIF('01_SLAS_Testcase'!$L$4:$L$165,"Fail")</f>
        <v>0</v>
      </c>
      <c r="F6" s="3"/>
      <c r="G6" s="3" t="s">
        <v>10</v>
      </c>
      <c r="H6" s="4">
        <f>COUNTIF('02_Requirements_Coverage'!$D$5:$D$104,"Covered")</f>
        <v>9</v>
      </c>
    </row>
    <row r="7" spans="1:8">
      <c r="A7" s="3" t="s">
        <v>11</v>
      </c>
      <c r="B7" s="5">
        <f>IF(B5=0,0,B6/B5)</f>
        <v>0</v>
      </c>
      <c r="C7" s="3"/>
      <c r="D7" s="3" t="s">
        <v>12</v>
      </c>
      <c r="E7" s="4">
        <f>COUNTIF('01_SLAS_Testcase'!$L$4:$L$165,"N/A")</f>
        <v>0</v>
      </c>
      <c r="F7" s="3"/>
      <c r="G7" s="3" t="s">
        <v>13</v>
      </c>
      <c r="H7" s="5">
        <f>IF(H5=0,0,H6/H5)</f>
        <v>0.28125</v>
      </c>
    </row>
    <row r="8" spans="1:8">
      <c r="A8" s="3"/>
      <c r="B8" s="4"/>
      <c r="C8" s="3"/>
      <c r="D8" s="3" t="s">
        <v>14</v>
      </c>
      <c r="E8" s="4">
        <f>B5-E5-E6-E7</f>
        <v>10</v>
      </c>
      <c r="F8" s="3"/>
      <c r="G8" s="3" t="s">
        <v>15</v>
      </c>
      <c r="H8" s="4">
        <f>H5-H6</f>
        <v>23</v>
      </c>
    </row>
    <row r="10" spans="1:8" ht="13.5" customHeight="1">
      <c r="A10" s="6" t="s">
        <v>16</v>
      </c>
      <c r="B10" s="6" t="s">
        <v>2</v>
      </c>
    </row>
    <row r="11" spans="1:8">
      <c r="A11" s="1" t="s">
        <v>17</v>
      </c>
      <c r="B11" s="1">
        <f>COUNTA('03_UnitTest_Result'!B4:B23)</f>
        <v>0</v>
      </c>
    </row>
    <row r="12" spans="1:8">
      <c r="A12" s="1" t="s">
        <v>18</v>
      </c>
      <c r="B12" s="1">
        <f>COUNTIF('03_UnitTest_Result'!I4:I23,"Pass")</f>
        <v>0</v>
      </c>
    </row>
    <row r="13" spans="1:8">
      <c r="A13" s="1" t="s">
        <v>19</v>
      </c>
      <c r="B13" s="1">
        <f>COUNTIF('03_UnitTest_Result'!I4:I23,"Fail")</f>
        <v>0</v>
      </c>
    </row>
    <row r="14" spans="1:8">
      <c r="A14" s="1" t="s">
        <v>20</v>
      </c>
      <c r="B14" s="7">
        <f>'03_UnitTest_Result'!B32</f>
        <v>0</v>
      </c>
    </row>
  </sheetData>
  <mergeCells count="1">
    <mergeCell ref="A1:H1"/>
  </mergeCells>
  <phoneticPr fontId="1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showGridLines="0" tabSelected="1" zoomScaleNormal="100" workbookViewId="0">
      <selection activeCell="F6" sqref="F6"/>
    </sheetView>
  </sheetViews>
  <sheetFormatPr defaultColWidth="8.7109375" defaultRowHeight="15"/>
  <cols>
    <col min="1" max="1" width="6" style="1" customWidth="1"/>
    <col min="2" max="2" width="16.140625" style="1" customWidth="1"/>
    <col min="3" max="3" width="26.140625" style="1" customWidth="1"/>
    <col min="4" max="4" width="28.7109375" style="1" customWidth="1"/>
    <col min="5" max="5" width="18.140625" style="1" customWidth="1"/>
    <col min="6" max="6" width="26.140625" style="1" customWidth="1"/>
    <col min="7" max="7" width="38.7109375" style="1" customWidth="1"/>
    <col min="8" max="8" width="43.7109375" style="1" customWidth="1"/>
    <col min="9" max="9" width="38.7109375" style="1" customWidth="1"/>
    <col min="10" max="10" width="27.42578125" style="1" customWidth="1"/>
    <col min="11" max="11" width="37.42578125" style="1" customWidth="1"/>
    <col min="12" max="14" width="11.85546875" style="1" customWidth="1"/>
  </cols>
  <sheetData>
    <row r="1" spans="1:14" ht="22.5" customHeight="1">
      <c r="A1" s="26" t="s">
        <v>21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3.5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>
      <c r="A3" s="8" t="s">
        <v>22</v>
      </c>
      <c r="B3" s="8" t="s">
        <v>23</v>
      </c>
      <c r="C3" s="8" t="s">
        <v>24</v>
      </c>
      <c r="D3" s="9" t="s">
        <v>25</v>
      </c>
      <c r="E3" s="9" t="s">
        <v>26</v>
      </c>
      <c r="F3" s="22" t="s">
        <v>156</v>
      </c>
      <c r="G3" s="9" t="s">
        <v>27</v>
      </c>
      <c r="H3" s="9" t="s">
        <v>28</v>
      </c>
      <c r="I3" s="9" t="s">
        <v>29</v>
      </c>
      <c r="J3" s="9" t="s">
        <v>30</v>
      </c>
      <c r="K3" s="10" t="s">
        <v>31</v>
      </c>
      <c r="L3" s="10" t="s">
        <v>3</v>
      </c>
      <c r="M3" s="10" t="s">
        <v>32</v>
      </c>
      <c r="N3" s="10" t="s">
        <v>33</v>
      </c>
    </row>
    <row r="4" spans="1:14" ht="51">
      <c r="A4" s="3">
        <v>1</v>
      </c>
      <c r="B4" s="3" t="s">
        <v>34</v>
      </c>
      <c r="C4" s="3" t="s">
        <v>35</v>
      </c>
      <c r="D4" s="3" t="s">
        <v>36</v>
      </c>
      <c r="E4" s="3" t="s">
        <v>37</v>
      </c>
      <c r="F4" s="24" t="s">
        <v>171</v>
      </c>
      <c r="G4" s="23" t="s">
        <v>170</v>
      </c>
      <c r="H4" s="3" t="s">
        <v>38</v>
      </c>
      <c r="I4" s="3" t="s">
        <v>39</v>
      </c>
      <c r="J4" s="3"/>
      <c r="K4" s="3"/>
      <c r="L4" s="3"/>
      <c r="M4" s="3"/>
      <c r="N4" s="3"/>
    </row>
    <row r="5" spans="1:14" ht="108">
      <c r="A5" s="3">
        <v>2</v>
      </c>
      <c r="B5" s="3" t="s">
        <v>40</v>
      </c>
      <c r="C5" s="3" t="s">
        <v>41</v>
      </c>
      <c r="D5" s="3" t="s">
        <v>42</v>
      </c>
      <c r="E5" s="3" t="s">
        <v>37</v>
      </c>
      <c r="F5" s="24" t="s">
        <v>179</v>
      </c>
      <c r="G5" s="3" t="s">
        <v>157</v>
      </c>
      <c r="H5" s="3" t="s">
        <v>166</v>
      </c>
      <c r="I5" s="11" t="s">
        <v>43</v>
      </c>
      <c r="J5" s="3" t="s">
        <v>44</v>
      </c>
      <c r="K5" s="3"/>
      <c r="L5" s="3"/>
      <c r="M5" s="3"/>
      <c r="N5" s="3"/>
    </row>
    <row r="6" spans="1:14" ht="67.5">
      <c r="A6" s="3">
        <v>3</v>
      </c>
      <c r="B6" s="3" t="s">
        <v>45</v>
      </c>
      <c r="C6" s="3" t="s">
        <v>46</v>
      </c>
      <c r="D6" s="3" t="s">
        <v>47</v>
      </c>
      <c r="E6" s="3" t="s">
        <v>37</v>
      </c>
      <c r="F6" s="24" t="s">
        <v>180</v>
      </c>
      <c r="G6" s="3" t="s">
        <v>158</v>
      </c>
      <c r="H6" s="3" t="s">
        <v>167</v>
      </c>
      <c r="I6" s="11" t="s">
        <v>48</v>
      </c>
      <c r="J6" s="3"/>
      <c r="K6" s="3"/>
      <c r="L6" s="3"/>
      <c r="M6" s="3"/>
      <c r="N6" s="3"/>
    </row>
    <row r="7" spans="1:14" ht="63.75">
      <c r="A7" s="3">
        <v>4</v>
      </c>
      <c r="B7" s="3" t="s">
        <v>49</v>
      </c>
      <c r="C7" s="3" t="s">
        <v>50</v>
      </c>
      <c r="D7" s="3" t="s">
        <v>51</v>
      </c>
      <c r="E7" s="3" t="s">
        <v>37</v>
      </c>
      <c r="F7" s="24" t="s">
        <v>177</v>
      </c>
      <c r="G7" s="3" t="s">
        <v>159</v>
      </c>
      <c r="H7" s="3" t="s">
        <v>168</v>
      </c>
      <c r="I7" s="11" t="s">
        <v>52</v>
      </c>
      <c r="J7" s="3"/>
      <c r="K7" s="3"/>
      <c r="L7" s="3"/>
      <c r="M7" s="3"/>
      <c r="N7" s="3"/>
    </row>
    <row r="8" spans="1:14" ht="63.75">
      <c r="A8" s="3">
        <v>5</v>
      </c>
      <c r="B8" s="3" t="s">
        <v>53</v>
      </c>
      <c r="C8" s="3" t="s">
        <v>54</v>
      </c>
      <c r="D8" s="3" t="s">
        <v>55</v>
      </c>
      <c r="E8" s="3" t="s">
        <v>56</v>
      </c>
      <c r="F8" s="24" t="s">
        <v>178</v>
      </c>
      <c r="G8" s="3" t="s">
        <v>160</v>
      </c>
      <c r="H8" s="3" t="s">
        <v>169</v>
      </c>
      <c r="I8" s="11" t="s">
        <v>57</v>
      </c>
      <c r="J8" s="11" t="s">
        <v>58</v>
      </c>
      <c r="K8" s="3"/>
      <c r="L8" s="3"/>
      <c r="M8" s="3"/>
      <c r="N8" s="3"/>
    </row>
    <row r="9" spans="1:14" ht="38.25">
      <c r="A9" s="3">
        <v>6</v>
      </c>
      <c r="B9" s="3" t="s">
        <v>59</v>
      </c>
      <c r="C9" s="3" t="s">
        <v>60</v>
      </c>
      <c r="D9" s="3" t="s">
        <v>61</v>
      </c>
      <c r="E9" s="3" t="s">
        <v>37</v>
      </c>
      <c r="F9" s="24" t="s">
        <v>172</v>
      </c>
      <c r="G9" s="3" t="s">
        <v>161</v>
      </c>
      <c r="H9" s="3" t="s">
        <v>62</v>
      </c>
      <c r="I9" s="11" t="s">
        <v>63</v>
      </c>
      <c r="J9" s="3"/>
      <c r="K9" s="3"/>
      <c r="L9" s="3"/>
      <c r="M9" s="3"/>
      <c r="N9" s="3"/>
    </row>
    <row r="10" spans="1:14" ht="25.5">
      <c r="A10" s="3">
        <v>7</v>
      </c>
      <c r="B10" s="3" t="s">
        <v>64</v>
      </c>
      <c r="C10" s="3" t="s">
        <v>65</v>
      </c>
      <c r="D10" s="11" t="s">
        <v>66</v>
      </c>
      <c r="E10" s="3" t="s">
        <v>67</v>
      </c>
      <c r="F10" s="24" t="s">
        <v>173</v>
      </c>
      <c r="G10" s="3" t="s">
        <v>162</v>
      </c>
      <c r="H10" s="11" t="s">
        <v>68</v>
      </c>
      <c r="I10" s="11" t="s">
        <v>69</v>
      </c>
      <c r="J10" s="11" t="s">
        <v>70</v>
      </c>
      <c r="K10" s="3"/>
      <c r="L10" s="3"/>
      <c r="M10" s="3"/>
      <c r="N10" s="3"/>
    </row>
    <row r="11" spans="1:14" ht="25.5">
      <c r="A11" s="3">
        <v>8</v>
      </c>
      <c r="B11" s="21" t="s">
        <v>181</v>
      </c>
      <c r="C11" s="3" t="s">
        <v>71</v>
      </c>
      <c r="D11" s="11" t="s">
        <v>72</v>
      </c>
      <c r="E11" s="3" t="s">
        <v>67</v>
      </c>
      <c r="F11" s="24" t="s">
        <v>174</v>
      </c>
      <c r="G11" s="3" t="s">
        <v>163</v>
      </c>
      <c r="H11" s="11" t="s">
        <v>73</v>
      </c>
      <c r="I11" s="11" t="s">
        <v>69</v>
      </c>
      <c r="J11" s="11" t="s">
        <v>70</v>
      </c>
      <c r="K11" s="3"/>
      <c r="L11" s="3"/>
      <c r="M11" s="3"/>
      <c r="N11" s="3"/>
    </row>
    <row r="12" spans="1:14" ht="25.5">
      <c r="A12" s="3">
        <v>9</v>
      </c>
      <c r="B12" s="21" t="s">
        <v>182</v>
      </c>
      <c r="C12" s="3" t="s">
        <v>74</v>
      </c>
      <c r="D12" s="3" t="s">
        <v>75</v>
      </c>
      <c r="E12" s="3" t="s">
        <v>67</v>
      </c>
      <c r="F12" s="24" t="s">
        <v>175</v>
      </c>
      <c r="G12" s="3" t="s">
        <v>164</v>
      </c>
      <c r="H12" s="11" t="s">
        <v>76</v>
      </c>
      <c r="I12" s="11" t="s">
        <v>69</v>
      </c>
      <c r="J12" s="11" t="s">
        <v>70</v>
      </c>
      <c r="K12" s="3"/>
      <c r="L12" s="3"/>
      <c r="M12" s="3"/>
      <c r="N12" s="3"/>
    </row>
    <row r="13" spans="1:14" ht="25.5">
      <c r="A13" s="3">
        <v>10</v>
      </c>
      <c r="B13" s="21" t="s">
        <v>183</v>
      </c>
      <c r="C13" s="3" t="s">
        <v>77</v>
      </c>
      <c r="D13" s="3" t="s">
        <v>78</v>
      </c>
      <c r="E13" s="3" t="s">
        <v>67</v>
      </c>
      <c r="F13" s="24" t="s">
        <v>176</v>
      </c>
      <c r="G13" s="3" t="s">
        <v>165</v>
      </c>
      <c r="H13" s="11" t="s">
        <v>79</v>
      </c>
      <c r="I13" s="11" t="s">
        <v>69</v>
      </c>
      <c r="J13" s="11" t="s">
        <v>70</v>
      </c>
      <c r="K13" s="3"/>
      <c r="L13" s="3"/>
      <c r="M13" s="3"/>
      <c r="N13" s="3"/>
    </row>
  </sheetData>
  <mergeCells count="2">
    <mergeCell ref="A1:N1"/>
    <mergeCell ref="A2:N2"/>
  </mergeCells>
  <phoneticPr fontId="19" type="noConversion"/>
  <dataValidations count="3">
    <dataValidation type="list" sqref="L4:L165" xr:uid="{00000000-0002-0000-0100-000000000000}">
      <formula1>"Not Tested,Pass,Fail,N/A"</formula1>
      <formula2>0</formula2>
    </dataValidation>
    <dataValidation type="list" sqref="M4:M165" xr:uid="{00000000-0002-0000-0100-000001000000}">
      <formula1>",Critical,Major,Minor,Info"</formula1>
      <formula2>0</formula2>
    </dataValidation>
    <dataValidation type="list" sqref="N4:N165" xr:uid="{00000000-0002-0000-0100-000002000000}">
      <formula1>",P1,P2,P3,P4"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showGridLines="0" zoomScaleNormal="100" workbookViewId="0">
      <selection activeCell="C14" sqref="C14"/>
    </sheetView>
  </sheetViews>
  <sheetFormatPr defaultColWidth="8.7109375" defaultRowHeight="15"/>
  <cols>
    <col min="1" max="1" width="18.7109375" style="1" customWidth="1"/>
    <col min="2" max="2" width="45" style="1" customWidth="1"/>
    <col min="3" max="4" width="16.140625" style="1" customWidth="1"/>
    <col min="5" max="5" width="45" style="1" customWidth="1"/>
    <col min="6" max="6" width="32.42578125" style="1" customWidth="1"/>
  </cols>
  <sheetData>
    <row r="1" spans="1:6" ht="22.5" customHeight="1">
      <c r="A1" s="26" t="s">
        <v>80</v>
      </c>
      <c r="B1" s="26"/>
      <c r="C1" s="26"/>
      <c r="D1" s="26"/>
      <c r="E1" s="26"/>
      <c r="F1" s="26"/>
    </row>
    <row r="2" spans="1:6" ht="15.75" customHeight="1">
      <c r="A2" s="28" t="s">
        <v>81</v>
      </c>
      <c r="B2" s="28"/>
      <c r="C2" s="28"/>
      <c r="D2" s="28"/>
      <c r="E2" s="28"/>
      <c r="F2" s="28"/>
    </row>
    <row r="3" spans="1:6" ht="13.5" customHeight="1">
      <c r="A3" s="12"/>
      <c r="B3" s="12"/>
      <c r="C3" s="12"/>
      <c r="D3" s="12"/>
      <c r="E3" s="12"/>
      <c r="F3" s="12"/>
    </row>
    <row r="4" spans="1:6">
      <c r="A4" s="8" t="s">
        <v>82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</row>
    <row r="5" spans="1:6">
      <c r="A5" s="3" t="s">
        <v>88</v>
      </c>
      <c r="B5" s="11" t="s">
        <v>89</v>
      </c>
      <c r="C5" s="3">
        <f>COUNTIF('01_SLAS_Testcase'!$C$4:$C$165,"*"&amp;A5&amp;"*")</f>
        <v>0</v>
      </c>
      <c r="D5" s="3" t="str">
        <f t="shared" ref="D5:D36" si="0">IF(C5&gt;0,"Covered","Not Covered")</f>
        <v>Not Covered</v>
      </c>
      <c r="E5" s="3"/>
      <c r="F5" s="3"/>
    </row>
    <row r="6" spans="1:6">
      <c r="A6" s="3" t="s">
        <v>90</v>
      </c>
      <c r="B6" s="11" t="s">
        <v>91</v>
      </c>
      <c r="C6" s="3">
        <f>COUNTIF('01_SLAS_Testcase'!$C$4:$C$165,"*"&amp;A6&amp;"*")</f>
        <v>0</v>
      </c>
      <c r="D6" s="3" t="str">
        <f t="shared" si="0"/>
        <v>Not Covered</v>
      </c>
      <c r="E6" s="3"/>
      <c r="F6" s="3"/>
    </row>
    <row r="7" spans="1:6">
      <c r="A7" s="3" t="s">
        <v>35</v>
      </c>
      <c r="B7" s="3" t="s">
        <v>92</v>
      </c>
      <c r="C7" s="3">
        <f>COUNTIF('01_SLAS_Testcase'!$C$4:$C$165,"*"&amp;A7&amp;"*")</f>
        <v>1</v>
      </c>
      <c r="D7" s="3" t="str">
        <f t="shared" si="0"/>
        <v>Covered</v>
      </c>
      <c r="E7" s="3"/>
      <c r="F7" s="3"/>
    </row>
    <row r="8" spans="1:6">
      <c r="A8" s="3" t="s">
        <v>41</v>
      </c>
      <c r="B8" s="3" t="s">
        <v>93</v>
      </c>
      <c r="C8" s="3">
        <f>COUNTIF('01_SLAS_Testcase'!$C$4:$C$165,"*"&amp;A8&amp;"*")</f>
        <v>1</v>
      </c>
      <c r="D8" s="3" t="str">
        <f t="shared" si="0"/>
        <v>Covered</v>
      </c>
      <c r="E8" s="3"/>
      <c r="F8" s="3"/>
    </row>
    <row r="9" spans="1:6">
      <c r="A9" s="3" t="s">
        <v>94</v>
      </c>
      <c r="B9" s="11" t="s">
        <v>95</v>
      </c>
      <c r="C9" s="3">
        <f>COUNTIF('01_SLAS_Testcase'!$C$4:$C$165,"*"&amp;A9&amp;"*")</f>
        <v>0</v>
      </c>
      <c r="D9" s="3" t="str">
        <f t="shared" si="0"/>
        <v>Not Covered</v>
      </c>
      <c r="E9" s="3"/>
      <c r="F9" s="3"/>
    </row>
    <row r="10" spans="1:6">
      <c r="A10" s="3" t="s">
        <v>96</v>
      </c>
      <c r="B10" s="11" t="s">
        <v>97</v>
      </c>
      <c r="C10" s="3">
        <f>COUNTIF('01_SLAS_Testcase'!$C$4:$C$165,"*"&amp;A10&amp;"*")</f>
        <v>0</v>
      </c>
      <c r="D10" s="3" t="str">
        <f t="shared" si="0"/>
        <v>Not Covered</v>
      </c>
      <c r="E10" s="3"/>
      <c r="F10" s="3"/>
    </row>
    <row r="11" spans="1:6">
      <c r="A11" s="3" t="s">
        <v>98</v>
      </c>
      <c r="B11" s="3" t="s">
        <v>99</v>
      </c>
      <c r="C11" s="3">
        <f>COUNTIF('01_SLAS_Testcase'!$C$4:$C$165,"*"&amp;A11&amp;"*")</f>
        <v>0</v>
      </c>
      <c r="D11" s="3" t="str">
        <f t="shared" si="0"/>
        <v>Not Covered</v>
      </c>
      <c r="E11" s="3"/>
      <c r="F11" s="3"/>
    </row>
    <row r="12" spans="1:6">
      <c r="A12" s="3" t="s">
        <v>100</v>
      </c>
      <c r="B12" s="3" t="s">
        <v>101</v>
      </c>
      <c r="C12" s="3">
        <f>COUNTIF('01_SLAS_Testcase'!$C$4:$C$165,"*"&amp;A12&amp;"*")</f>
        <v>0</v>
      </c>
      <c r="D12" s="3" t="str">
        <f t="shared" si="0"/>
        <v>Not Covered</v>
      </c>
      <c r="E12" s="3"/>
      <c r="F12" s="3"/>
    </row>
    <row r="13" spans="1:6">
      <c r="A13" s="3" t="s">
        <v>102</v>
      </c>
      <c r="B13" s="11" t="s">
        <v>103</v>
      </c>
      <c r="C13" s="3">
        <f>COUNTIF('01_SLAS_Testcase'!$C$4:$C$165,"*"&amp;A13&amp;"*")</f>
        <v>0</v>
      </c>
      <c r="D13" s="3" t="str">
        <f t="shared" si="0"/>
        <v>Not Covered</v>
      </c>
      <c r="E13" s="3"/>
      <c r="F13" s="3"/>
    </row>
    <row r="14" spans="1:6">
      <c r="A14" s="3" t="s">
        <v>46</v>
      </c>
      <c r="B14" s="3" t="s">
        <v>104</v>
      </c>
      <c r="C14" s="3">
        <f>COUNTIF('01_SLAS_Testcase'!$C$4:$C$165,"*"&amp;A14&amp;"*")</f>
        <v>2</v>
      </c>
      <c r="D14" s="3" t="str">
        <f t="shared" si="0"/>
        <v>Covered</v>
      </c>
      <c r="E14" s="3"/>
      <c r="F14" s="3"/>
    </row>
    <row r="15" spans="1:6">
      <c r="A15" s="3" t="s">
        <v>50</v>
      </c>
      <c r="B15" s="3" t="s">
        <v>105</v>
      </c>
      <c r="C15" s="3">
        <f>COUNTIF('01_SLAS_Testcase'!$C$4:$C$165,"*"&amp;A15&amp;"*")</f>
        <v>2</v>
      </c>
      <c r="D15" s="3" t="str">
        <f t="shared" si="0"/>
        <v>Covered</v>
      </c>
      <c r="E15" s="3"/>
      <c r="F15" s="3"/>
    </row>
    <row r="16" spans="1:6">
      <c r="A16" s="3" t="s">
        <v>60</v>
      </c>
      <c r="B16" s="3" t="s">
        <v>106</v>
      </c>
      <c r="C16" s="3">
        <f>COUNTIF('01_SLAS_Testcase'!$C$4:$C$165,"*"&amp;A16&amp;"*")</f>
        <v>1</v>
      </c>
      <c r="D16" s="3" t="str">
        <f t="shared" si="0"/>
        <v>Covered</v>
      </c>
      <c r="E16" s="3"/>
      <c r="F16" s="3"/>
    </row>
    <row r="17" spans="1:6">
      <c r="A17" s="3" t="s">
        <v>65</v>
      </c>
      <c r="B17" s="11" t="s">
        <v>107</v>
      </c>
      <c r="C17" s="3">
        <f>COUNTIF('01_SLAS_Testcase'!$C$4:$C$165,"*"&amp;A17&amp;"*")</f>
        <v>1</v>
      </c>
      <c r="D17" s="3" t="str">
        <f t="shared" si="0"/>
        <v>Covered</v>
      </c>
      <c r="E17" s="3"/>
      <c r="F17" s="3"/>
    </row>
    <row r="18" spans="1:6">
      <c r="A18" s="3" t="s">
        <v>71</v>
      </c>
      <c r="B18" s="11" t="s">
        <v>108</v>
      </c>
      <c r="C18" s="3">
        <f>COUNTIF('01_SLAS_Testcase'!$C$4:$C$165,"*"&amp;A18&amp;"*")</f>
        <v>1</v>
      </c>
      <c r="D18" s="3" t="str">
        <f t="shared" si="0"/>
        <v>Covered</v>
      </c>
      <c r="E18" s="3"/>
      <c r="F18" s="3"/>
    </row>
    <row r="19" spans="1:6">
      <c r="A19" s="3" t="s">
        <v>74</v>
      </c>
      <c r="B19" s="3" t="s">
        <v>109</v>
      </c>
      <c r="C19" s="3">
        <f>COUNTIF('01_SLAS_Testcase'!$C$4:$C$165,"*"&amp;A19&amp;"*")</f>
        <v>1</v>
      </c>
      <c r="D19" s="3" t="str">
        <f t="shared" si="0"/>
        <v>Covered</v>
      </c>
      <c r="E19" s="3"/>
      <c r="F19" s="3"/>
    </row>
    <row r="20" spans="1:6">
      <c r="A20" s="3" t="s">
        <v>77</v>
      </c>
      <c r="B20" s="11" t="s">
        <v>110</v>
      </c>
      <c r="C20" s="3">
        <f>COUNTIF('01_SLAS_Testcase'!$C$4:$C$165,"*"&amp;A20&amp;"*")</f>
        <v>1</v>
      </c>
      <c r="D20" s="3" t="str">
        <f t="shared" si="0"/>
        <v>Covered</v>
      </c>
      <c r="E20" s="3"/>
      <c r="F20" s="3"/>
    </row>
    <row r="21" spans="1:6">
      <c r="A21" s="3" t="s">
        <v>111</v>
      </c>
      <c r="B21" s="11" t="s">
        <v>112</v>
      </c>
      <c r="C21" s="3">
        <f>COUNTIF('01_SLAS_Testcase'!$C$4:$C$165,"*"&amp;A21&amp;"*")</f>
        <v>0</v>
      </c>
      <c r="D21" s="3" t="str">
        <f t="shared" si="0"/>
        <v>Not Covered</v>
      </c>
      <c r="E21" s="3"/>
      <c r="F21" s="3"/>
    </row>
    <row r="22" spans="1:6">
      <c r="A22" s="3" t="s">
        <v>113</v>
      </c>
      <c r="B22" s="11" t="s">
        <v>114</v>
      </c>
      <c r="C22" s="3">
        <f>COUNTIF('01_SLAS_Testcase'!$C$4:$C$165,"*"&amp;A22&amp;"*")</f>
        <v>0</v>
      </c>
      <c r="D22" s="3" t="str">
        <f t="shared" si="0"/>
        <v>Not Covered</v>
      </c>
      <c r="E22" s="3"/>
      <c r="F22" s="3"/>
    </row>
    <row r="23" spans="1:6">
      <c r="A23" s="3" t="s">
        <v>115</v>
      </c>
      <c r="B23" s="11" t="s">
        <v>116</v>
      </c>
      <c r="C23" s="3">
        <f>COUNTIF('01_SLAS_Testcase'!$C$4:$C$165,"*"&amp;A23&amp;"*")</f>
        <v>0</v>
      </c>
      <c r="D23" s="3" t="str">
        <f t="shared" si="0"/>
        <v>Not Covered</v>
      </c>
      <c r="E23" s="3"/>
      <c r="F23" s="3"/>
    </row>
    <row r="24" spans="1:6">
      <c r="A24" s="3" t="s">
        <v>117</v>
      </c>
      <c r="B24" s="3" t="s">
        <v>118</v>
      </c>
      <c r="C24" s="3">
        <f>COUNTIF('01_SLAS_Testcase'!$C$4:$C$165,"*"&amp;A24&amp;"*")</f>
        <v>0</v>
      </c>
      <c r="D24" s="3" t="str">
        <f t="shared" si="0"/>
        <v>Not Covered</v>
      </c>
      <c r="E24" s="3"/>
      <c r="F24" s="3"/>
    </row>
    <row r="25" spans="1:6">
      <c r="A25" s="3" t="s">
        <v>119</v>
      </c>
      <c r="B25" s="3" t="s">
        <v>120</v>
      </c>
      <c r="C25" s="3">
        <f>COUNTIF('01_SLAS_Testcase'!$C$4:$C$165,"*"&amp;A25&amp;"*")</f>
        <v>0</v>
      </c>
      <c r="D25" s="3" t="str">
        <f t="shared" si="0"/>
        <v>Not Covered</v>
      </c>
      <c r="E25" s="3"/>
      <c r="F25" s="3"/>
    </row>
    <row r="26" spans="1:6">
      <c r="A26" s="3" t="s">
        <v>121</v>
      </c>
      <c r="B26" s="3" t="s">
        <v>122</v>
      </c>
      <c r="C26" s="3">
        <f>COUNTIF('01_SLAS_Testcase'!$C$4:$C$165,"*"&amp;A26&amp;"*")</f>
        <v>0</v>
      </c>
      <c r="D26" s="3" t="str">
        <f t="shared" si="0"/>
        <v>Not Covered</v>
      </c>
      <c r="E26" s="3"/>
      <c r="F26" s="3"/>
    </row>
    <row r="27" spans="1:6">
      <c r="A27" s="3" t="s">
        <v>123</v>
      </c>
      <c r="B27" s="3" t="s">
        <v>124</v>
      </c>
      <c r="C27" s="3">
        <f>COUNTIF('01_SLAS_Testcase'!$C$4:$C$165,"*"&amp;A27&amp;"*")</f>
        <v>0</v>
      </c>
      <c r="D27" s="3" t="str">
        <f t="shared" si="0"/>
        <v>Not Covered</v>
      </c>
      <c r="E27" s="3"/>
      <c r="F27" s="3"/>
    </row>
    <row r="28" spans="1:6">
      <c r="A28" s="3" t="s">
        <v>125</v>
      </c>
      <c r="B28" s="3" t="s">
        <v>126</v>
      </c>
      <c r="C28" s="3">
        <f>COUNTIF('01_SLAS_Testcase'!$C$4:$C$165,"*"&amp;A28&amp;"*")</f>
        <v>0</v>
      </c>
      <c r="D28" s="3" t="str">
        <f t="shared" si="0"/>
        <v>Not Covered</v>
      </c>
      <c r="E28" s="3"/>
      <c r="F28" s="3"/>
    </row>
    <row r="29" spans="1:6">
      <c r="A29" s="3" t="s">
        <v>127</v>
      </c>
      <c r="B29" s="3" t="s">
        <v>128</v>
      </c>
      <c r="C29" s="3">
        <f>COUNTIF('01_SLAS_Testcase'!$C$4:$C$165,"*"&amp;A29&amp;"*")</f>
        <v>0</v>
      </c>
      <c r="D29" s="3" t="str">
        <f t="shared" si="0"/>
        <v>Not Covered</v>
      </c>
      <c r="E29" s="3"/>
      <c r="F29" s="3"/>
    </row>
    <row r="30" spans="1:6">
      <c r="A30" s="3" t="s">
        <v>129</v>
      </c>
      <c r="B30" s="3" t="s">
        <v>130</v>
      </c>
      <c r="C30" s="3">
        <f>COUNTIF('01_SLAS_Testcase'!$C$4:$C$165,"*"&amp;A30&amp;"*")</f>
        <v>0</v>
      </c>
      <c r="D30" s="3" t="str">
        <f t="shared" si="0"/>
        <v>Not Covered</v>
      </c>
      <c r="E30" s="3"/>
      <c r="F30" s="3"/>
    </row>
    <row r="31" spans="1:6">
      <c r="A31" s="3" t="s">
        <v>131</v>
      </c>
      <c r="B31" s="11" t="s">
        <v>132</v>
      </c>
      <c r="C31" s="3">
        <f>COUNTIF('01_SLAS_Testcase'!$C$4:$C$165,"*"&amp;A31&amp;"*")</f>
        <v>0</v>
      </c>
      <c r="D31" s="3" t="str">
        <f t="shared" si="0"/>
        <v>Not Covered</v>
      </c>
      <c r="E31" s="3"/>
      <c r="F31" s="3"/>
    </row>
    <row r="32" spans="1:6">
      <c r="A32" s="3" t="s">
        <v>133</v>
      </c>
      <c r="B32" s="11" t="s">
        <v>134</v>
      </c>
      <c r="C32" s="3">
        <f>COUNTIF('01_SLAS_Testcase'!$C$4:$C$165,"*"&amp;A32&amp;"*")</f>
        <v>0</v>
      </c>
      <c r="D32" s="3" t="str">
        <f t="shared" si="0"/>
        <v>Not Covered</v>
      </c>
      <c r="E32" s="3"/>
      <c r="F32" s="3"/>
    </row>
    <row r="33" spans="1:6">
      <c r="A33" s="3" t="s">
        <v>135</v>
      </c>
      <c r="B33" s="11" t="s">
        <v>136</v>
      </c>
      <c r="C33" s="3">
        <f>COUNTIF('01_SLAS_Testcase'!$C$4:$C$165,"*"&amp;A33&amp;"*")</f>
        <v>0</v>
      </c>
      <c r="D33" s="3" t="str">
        <f t="shared" si="0"/>
        <v>Not Covered</v>
      </c>
      <c r="E33" s="3"/>
      <c r="F33" s="3"/>
    </row>
    <row r="34" spans="1:6">
      <c r="A34" s="3" t="s">
        <v>137</v>
      </c>
      <c r="B34" s="11" t="s">
        <v>138</v>
      </c>
      <c r="C34" s="3">
        <f>COUNTIF('01_SLAS_Testcase'!$C$4:$C$165,"*"&amp;A34&amp;"*")</f>
        <v>0</v>
      </c>
      <c r="D34" s="3" t="str">
        <f t="shared" si="0"/>
        <v>Not Covered</v>
      </c>
      <c r="E34" s="3"/>
      <c r="F34" s="3"/>
    </row>
    <row r="35" spans="1:6">
      <c r="A35" s="3" t="s">
        <v>139</v>
      </c>
      <c r="B35" s="11" t="s">
        <v>140</v>
      </c>
      <c r="C35" s="3">
        <f>COUNTIF('01_SLAS_Testcase'!$C$4:$C$165,"*"&amp;A35&amp;"*")</f>
        <v>0</v>
      </c>
      <c r="D35" s="3" t="str">
        <f t="shared" si="0"/>
        <v>Not Covered</v>
      </c>
      <c r="E35" s="3"/>
      <c r="F35" s="3"/>
    </row>
    <row r="36" spans="1:6">
      <c r="A36" s="3" t="s">
        <v>141</v>
      </c>
      <c r="B36" s="11" t="s">
        <v>142</v>
      </c>
      <c r="C36" s="3">
        <f>COUNTIF('01_SLAS_Testcase'!$C$4:$C$165,"*"&amp;A36&amp;"*")</f>
        <v>0</v>
      </c>
      <c r="D36" s="3" t="str">
        <f t="shared" si="0"/>
        <v>Not Covered</v>
      </c>
      <c r="E36" s="3"/>
      <c r="F36" s="3"/>
    </row>
  </sheetData>
  <mergeCells count="2">
    <mergeCell ref="A1:F1"/>
    <mergeCell ref="A2:F2"/>
  </mergeCells>
  <phoneticPr fontId="1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"/>
  <sheetViews>
    <sheetView zoomScaleNormal="100" workbookViewId="0"/>
  </sheetViews>
  <sheetFormatPr defaultColWidth="8.7109375" defaultRowHeight="15"/>
  <cols>
    <col min="1" max="1" width="6" style="1" customWidth="1"/>
    <col min="2" max="2" width="28" style="1" customWidth="1"/>
    <col min="3" max="3" width="18" style="1" customWidth="1"/>
    <col min="4" max="4" width="30" style="1" customWidth="1"/>
    <col min="5" max="5" width="20" style="1" customWidth="1"/>
    <col min="6" max="6" width="30" style="1" customWidth="1"/>
    <col min="7" max="8" width="25" style="1" customWidth="1"/>
    <col min="9" max="9" width="10" style="1" customWidth="1"/>
    <col min="10" max="10" width="20" style="1" customWidth="1"/>
  </cols>
  <sheetData>
    <row r="1" spans="1:10" ht="17.25" customHeight="1">
      <c r="A1" s="13" t="s">
        <v>143</v>
      </c>
    </row>
    <row r="3" spans="1:10" ht="13.5" customHeight="1">
      <c r="A3" s="14" t="s">
        <v>22</v>
      </c>
      <c r="B3" s="15" t="s">
        <v>144</v>
      </c>
      <c r="C3" s="15" t="s">
        <v>145</v>
      </c>
      <c r="D3" s="15" t="s">
        <v>146</v>
      </c>
      <c r="E3" s="15" t="s">
        <v>147</v>
      </c>
      <c r="F3" s="15" t="s">
        <v>148</v>
      </c>
      <c r="G3" s="15" t="s">
        <v>149</v>
      </c>
      <c r="H3" s="15" t="s">
        <v>150</v>
      </c>
      <c r="I3" s="14" t="s">
        <v>151</v>
      </c>
      <c r="J3" s="15" t="s">
        <v>152</v>
      </c>
    </row>
    <row r="4" spans="1:10">
      <c r="A4" s="16">
        <v>1</v>
      </c>
      <c r="B4" s="16"/>
      <c r="C4" s="16"/>
      <c r="D4" s="16"/>
      <c r="E4" s="16"/>
      <c r="F4" s="16"/>
      <c r="G4" s="16"/>
      <c r="H4" s="16"/>
      <c r="I4" s="16"/>
      <c r="J4" s="16"/>
    </row>
    <row r="5" spans="1:10">
      <c r="A5" s="16">
        <v>2</v>
      </c>
      <c r="B5" s="16"/>
      <c r="C5" s="16"/>
      <c r="D5" s="16"/>
      <c r="E5" s="16"/>
      <c r="F5" s="16"/>
      <c r="G5" s="16"/>
      <c r="H5" s="16"/>
      <c r="I5" s="16"/>
      <c r="J5" s="16"/>
    </row>
    <row r="6" spans="1:10">
      <c r="A6" s="16">
        <v>3</v>
      </c>
      <c r="B6" s="16"/>
      <c r="C6" s="16"/>
      <c r="D6" s="16"/>
      <c r="E6" s="16"/>
      <c r="F6" s="16"/>
      <c r="G6" s="16"/>
      <c r="H6" s="16"/>
      <c r="I6" s="16"/>
      <c r="J6" s="16"/>
    </row>
    <row r="7" spans="1:10">
      <c r="A7" s="16">
        <v>4</v>
      </c>
      <c r="B7" s="16"/>
      <c r="C7" s="16"/>
      <c r="D7" s="16"/>
      <c r="E7" s="16"/>
      <c r="F7" s="16"/>
      <c r="G7" s="16"/>
      <c r="H7" s="16"/>
      <c r="I7" s="16"/>
      <c r="J7" s="16"/>
    </row>
    <row r="8" spans="1:10">
      <c r="A8" s="16">
        <v>5</v>
      </c>
      <c r="B8" s="16"/>
      <c r="C8" s="16"/>
      <c r="D8" s="16"/>
      <c r="E8" s="16"/>
      <c r="F8" s="16"/>
      <c r="G8" s="16"/>
      <c r="H8" s="16"/>
      <c r="I8" s="16"/>
      <c r="J8" s="16"/>
    </row>
    <row r="9" spans="1:10">
      <c r="A9" s="16">
        <v>6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>
      <c r="A10" s="16">
        <v>7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>
      <c r="A11" s="16">
        <v>8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>
      <c r="A12" s="16">
        <v>9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16">
        <v>10</v>
      </c>
      <c r="B13" s="16"/>
      <c r="C13" s="16"/>
      <c r="D13" s="16"/>
      <c r="E13" s="16"/>
      <c r="F13" s="16"/>
      <c r="G13" s="16"/>
      <c r="H13" s="16"/>
      <c r="I13" s="16"/>
      <c r="J13" s="16"/>
    </row>
    <row r="14" spans="1:10">
      <c r="A14" s="16">
        <v>11</v>
      </c>
      <c r="B14" s="16"/>
      <c r="C14" s="16"/>
      <c r="D14" s="16"/>
      <c r="E14" s="16"/>
      <c r="F14" s="16"/>
      <c r="G14" s="16"/>
      <c r="H14" s="16"/>
      <c r="I14" s="16"/>
      <c r="J14" s="16"/>
    </row>
    <row r="15" spans="1:10">
      <c r="A15" s="16">
        <v>12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6">
        <v>13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>
      <c r="A17" s="16">
        <v>14</v>
      </c>
      <c r="B17" s="16"/>
      <c r="C17" s="16"/>
      <c r="D17" s="16"/>
      <c r="E17" s="16"/>
      <c r="F17" s="16"/>
      <c r="G17" s="16"/>
      <c r="H17" s="16"/>
      <c r="I17" s="16"/>
      <c r="J17" s="16"/>
    </row>
    <row r="18" spans="1:10">
      <c r="A18" s="16">
        <v>15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>
      <c r="A19" s="16">
        <v>16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>
      <c r="A20" s="16">
        <v>17</v>
      </c>
      <c r="B20" s="16"/>
      <c r="C20" s="16"/>
      <c r="D20" s="16"/>
      <c r="E20" s="16"/>
      <c r="F20" s="16"/>
      <c r="G20" s="16"/>
      <c r="H20" s="16"/>
      <c r="I20" s="16"/>
      <c r="J20" s="16"/>
    </row>
    <row r="21" spans="1:10">
      <c r="A21" s="16">
        <v>18</v>
      </c>
      <c r="B21" s="16"/>
      <c r="C21" s="16"/>
      <c r="D21" s="16"/>
      <c r="E21" s="16"/>
      <c r="F21" s="16"/>
      <c r="G21" s="16"/>
      <c r="H21" s="16"/>
      <c r="I21" s="16"/>
      <c r="J21" s="16"/>
    </row>
    <row r="22" spans="1:10">
      <c r="A22" s="16">
        <v>19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>
      <c r="A23" s="16">
        <v>20</v>
      </c>
      <c r="B23" s="16"/>
      <c r="C23" s="16"/>
      <c r="D23" s="16"/>
      <c r="E23" s="16"/>
      <c r="F23" s="16"/>
      <c r="G23" s="16"/>
      <c r="H23" s="16"/>
      <c r="I23" s="16"/>
      <c r="J23" s="16"/>
    </row>
    <row r="26" spans="1:10" ht="15" customHeight="1">
      <c r="A26" s="17" t="s">
        <v>153</v>
      </c>
    </row>
    <row r="28" spans="1:10">
      <c r="A28" s="18" t="s">
        <v>154</v>
      </c>
      <c r="B28" s="18">
        <f>COUNTA(B4:B23)</f>
        <v>0</v>
      </c>
    </row>
    <row r="29" spans="1:10">
      <c r="A29" s="19" t="s">
        <v>6</v>
      </c>
      <c r="B29" s="19">
        <f>COUNTIF(I4:I23,"Pass")</f>
        <v>0</v>
      </c>
    </row>
    <row r="30" spans="1:10">
      <c r="A30" s="19" t="s">
        <v>9</v>
      </c>
      <c r="B30" s="19">
        <f>COUNTIF(I4:I23,"Fail")</f>
        <v>0</v>
      </c>
    </row>
    <row r="32" spans="1:10">
      <c r="A32" s="19" t="s">
        <v>155</v>
      </c>
      <c r="B32" s="20"/>
    </row>
  </sheetData>
  <phoneticPr fontId="19" type="noConversion"/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00_Summary</vt:lpstr>
      <vt:lpstr>01_SLAS_Testcase</vt:lpstr>
      <vt:lpstr>02_Requirements_Coverage</vt:lpstr>
      <vt:lpstr>03_UnitTest_Result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2026-06-29T00:32:59Z</dcterms:created>
  <dcterms:modified xsi:type="dcterms:W3CDTF">2026-07-25T05:10:01Z</dcterms:modified>
  <dc:language>en-US</dc:language>
</cp:coreProperties>
</file>