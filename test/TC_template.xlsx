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B:\02_Repos\03_Edu\slas-exercise-template\test\"/>
    </mc:Choice>
  </mc:AlternateContent>
  <xr:revisionPtr revIDLastSave="0" documentId="13_ncr:1_{E6F1E5D0-866B-4069-BDA1-E65C51D171B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00_Summary" sheetId="1" r:id="rId1"/>
    <sheet name="01_SLAS_Testcase" sheetId="3" r:id="rId2"/>
    <sheet name="02_Requirements_Coverage" sheetId="4" r:id="rId3"/>
    <sheet name="03_UnitTest_Result" sheetId="5" r:id="rId4"/>
  </sheets>
  <calcPr calcId="181029"/>
</workbook>
</file>

<file path=xl/calcChain.xml><?xml version="1.0" encoding="utf-8"?>
<calcChain xmlns="http://schemas.openxmlformats.org/spreadsheetml/2006/main">
  <c r="B30" i="5" l="1"/>
  <c r="B29" i="5"/>
  <c r="B28" i="5"/>
  <c r="C36" i="4"/>
  <c r="D36" i="4" s="1"/>
  <c r="C35" i="4"/>
  <c r="D35" i="4" s="1"/>
  <c r="C34" i="4"/>
  <c r="D34" i="4" s="1"/>
  <c r="C33" i="4"/>
  <c r="D33" i="4" s="1"/>
  <c r="C32" i="4"/>
  <c r="D32" i="4" s="1"/>
  <c r="C31" i="4"/>
  <c r="D31" i="4" s="1"/>
  <c r="C30" i="4"/>
  <c r="D30" i="4" s="1"/>
  <c r="C29" i="4"/>
  <c r="D29" i="4" s="1"/>
  <c r="C28" i="4"/>
  <c r="D28" i="4" s="1"/>
  <c r="C27" i="4"/>
  <c r="D27" i="4" s="1"/>
  <c r="C26" i="4"/>
  <c r="D26" i="4" s="1"/>
  <c r="C25" i="4"/>
  <c r="D25" i="4" s="1"/>
  <c r="C24" i="4"/>
  <c r="D24" i="4" s="1"/>
  <c r="C23" i="4"/>
  <c r="D23" i="4" s="1"/>
  <c r="C22" i="4"/>
  <c r="D22" i="4" s="1"/>
  <c r="C21" i="4"/>
  <c r="D21" i="4" s="1"/>
  <c r="C20" i="4"/>
  <c r="D20" i="4" s="1"/>
  <c r="C19" i="4"/>
  <c r="D19" i="4" s="1"/>
  <c r="C18" i="4"/>
  <c r="D18" i="4" s="1"/>
  <c r="C17" i="4"/>
  <c r="D17" i="4" s="1"/>
  <c r="C16" i="4"/>
  <c r="D16" i="4" s="1"/>
  <c r="C15" i="4"/>
  <c r="D15" i="4" s="1"/>
  <c r="C14" i="4"/>
  <c r="D14" i="4" s="1"/>
  <c r="C13" i="4"/>
  <c r="D13" i="4" s="1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H6" i="1" s="1"/>
  <c r="B14" i="1"/>
  <c r="B13" i="1"/>
  <c r="B12" i="1"/>
  <c r="B11" i="1"/>
  <c r="E7" i="1"/>
  <c r="E6" i="1"/>
  <c r="H5" i="1"/>
  <c r="E5" i="1"/>
  <c r="E8" i="1" s="1"/>
  <c r="B5" i="1"/>
  <c r="B7" i="1" s="1"/>
  <c r="H8" i="1" l="1"/>
  <c r="H7" i="1"/>
  <c r="B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SLAS Exercise Guide</author>
  </authors>
  <commentList>
    <comment ref="B3" authorId="0" shapeId="0" xr:uid="{00000000-0006-0000-0200-000001000000}">
      <text>
        <r>
          <rPr>
            <sz val="11"/>
            <rFont val="Carlito"/>
          </rPr>
          <t>TC ID 네이밍 규칙:
SLAS-XX-TC-NNN
XX = 테스트 기법 약어
  RA: Requirement Analysis
  EP: Equivalence Partitioning
  BV: Boundary Value Analysis
  EG: Error Guessing
  PW: Pairwise
NNN = 일련번호 (001~)
예시: SLAS-EP-TC-001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SLAS Exercise Guide</author>
  </authors>
  <commentList>
    <comment ref="B32" authorId="0" shapeId="0" xr:uid="{00000000-0006-0000-0400-000001000000}">
      <text>
        <r>
          <rPr>
            <sz val="11"/>
            <rFont val="Carlito"/>
          </rPr>
          <t>gcov 실행 결과의 Lines executed 값을 입력하세요.
예: 75.3% -&gt; 0.753 입력</t>
        </r>
      </text>
    </comment>
  </commentList>
</comments>
</file>

<file path=xl/sharedStrings.xml><?xml version="1.0" encoding="utf-8"?>
<sst xmlns="http://schemas.openxmlformats.org/spreadsheetml/2006/main" count="127" uniqueCount="120">
  <si>
    <t>02_SLAS_Testcase</t>
  </si>
  <si>
    <t>No.</t>
  </si>
  <si>
    <t>TC ID</t>
  </si>
  <si>
    <t>SRS ID</t>
  </si>
  <si>
    <t>Purpose</t>
  </si>
  <si>
    <t>Verification Type</t>
  </si>
  <si>
    <t>Pre-condition</t>
  </si>
  <si>
    <t>Test Procedure</t>
  </si>
  <si>
    <t>Input</t>
  </si>
  <si>
    <t>Expected Result</t>
  </si>
  <si>
    <t>Remarks</t>
  </si>
  <si>
    <t>Actual Result</t>
  </si>
  <si>
    <t>Result</t>
  </si>
  <si>
    <t>Severity</t>
  </si>
  <si>
    <t>Priority</t>
  </si>
  <si>
    <t>&lt;SLAS&gt; Test Summary</t>
  </si>
  <si>
    <t>Metric</t>
  </si>
  <si>
    <t>Value</t>
  </si>
  <si>
    <t>Coverage</t>
  </si>
  <si>
    <t>SLAS Testcase Total</t>
  </si>
  <si>
    <t>Pass</t>
  </si>
  <si>
    <t>SLAS Requirement Total</t>
  </si>
  <si>
    <t>Executed Testcase</t>
  </si>
  <si>
    <t>Fail</t>
  </si>
  <si>
    <t>Covered Requirements</t>
  </si>
  <si>
    <t>Execution Rate</t>
  </si>
  <si>
    <t>N/A</t>
  </si>
  <si>
    <t>Coverage Rate</t>
  </si>
  <si>
    <t>Not Tested</t>
  </si>
  <si>
    <t>Not Covered</t>
  </si>
  <si>
    <t>Unit Test</t>
  </si>
  <si>
    <t>Unit Test Total</t>
  </si>
  <si>
    <t>Unit Test Pass</t>
  </si>
  <si>
    <t>Unit Test Fail</t>
  </si>
  <si>
    <t>Statement Coverage</t>
  </si>
  <si>
    <t>SLAS Requirements Traceability</t>
  </si>
  <si>
    <t>SRS ID가 TC에 최소 1회 이상 연결되었는지 확인한다. (요구사항 커버리지 100%)</t>
  </si>
  <si>
    <t>Requirement ID</t>
  </si>
  <si>
    <t>Requirement Summary</t>
  </si>
  <si>
    <t>Mapped TC Count</t>
  </si>
  <si>
    <t>Coverage Status</t>
  </si>
  <si>
    <t>Related TC ID</t>
  </si>
  <si>
    <t>Coverage Note</t>
  </si>
  <si>
    <t>SLAS-SRS-001</t>
  </si>
  <si>
    <t>유효한 제한속도 정보 표시</t>
  </si>
  <si>
    <t>SLAS-SRS-002</t>
  </si>
  <si>
    <t>제한속도 정보 없음 표시</t>
  </si>
  <si>
    <t>SLAS-SRS-003</t>
  </si>
  <si>
    <t>OFF 모드 SLAS 보조 표시 OFF</t>
  </si>
  <si>
    <t>SLAS-SRS-004</t>
  </si>
  <si>
    <t>OFF 모드 경고/안내 억제</t>
  </si>
  <si>
    <t>SLAS-SRS-005</t>
  </si>
  <si>
    <t>경고 임계값 이하 경고 없음</t>
  </si>
  <si>
    <t>SLAS-SRS-006</t>
  </si>
  <si>
    <t>경고 임계값 초과 경고</t>
  </si>
  <si>
    <t>SLAS-SRS-007</t>
  </si>
  <si>
    <t>90% 미만 GREEN</t>
  </si>
  <si>
    <t>SLAS-SRS-008</t>
  </si>
  <si>
    <t>90% 이상 임계값 이하 AMBER</t>
  </si>
  <si>
    <t>SLAS-SRS-009</t>
  </si>
  <si>
    <t>임계값 초과 RED</t>
  </si>
  <si>
    <t>SLAS-SRS-010</t>
  </si>
  <si>
    <t>ASSIST UP 안내</t>
  </si>
  <si>
    <t>SLAS-SRS-011</t>
  </si>
  <si>
    <t>ASSIST DOWN 안내</t>
  </si>
  <si>
    <t>SLAS-SRS-012</t>
  </si>
  <si>
    <t>WARNING 안내 억제</t>
  </si>
  <si>
    <t>SLAS-SRS-013</t>
  </si>
  <si>
    <t>차량 속도 입력 유효성</t>
  </si>
  <si>
    <t>SLAS-SRS-014</t>
  </si>
  <si>
    <t>제한속도 입력 유효성</t>
  </si>
  <si>
    <t>SLAS-SRS-015</t>
  </si>
  <si>
    <t>Offset 입력 유효성</t>
  </si>
  <si>
    <t>SLAS-SRS-016</t>
  </si>
  <si>
    <t>현재 ACC/MSLA 설정속도 입력 유효성</t>
  </si>
  <si>
    <t>SLAS-SRS-017</t>
  </si>
  <si>
    <t>입력 오류 처리</t>
  </si>
  <si>
    <t>SLAS-SRS-018</t>
  </si>
  <si>
    <t>시동 후 초기화 상태</t>
  </si>
  <si>
    <t>SLAS-SRS-019</t>
  </si>
  <si>
    <t>카메라 정상 상태 우선 적용</t>
  </si>
  <si>
    <t>SLAS-SRS-020</t>
  </si>
  <si>
    <t>LOW_CONFIDENCE 내비 적용</t>
  </si>
  <si>
    <t>SLAS-SRS-021</t>
  </si>
  <si>
    <t>MIN_SPEED 미적용</t>
  </si>
  <si>
    <t>SLAS-SRS-022</t>
  </si>
  <si>
    <t>UNKNOWN 내비 적용</t>
  </si>
  <si>
    <t>SLAS-SRS-023</t>
  </si>
  <si>
    <t>MAIN_ROAD 복수 표지판 우선순위</t>
  </si>
  <si>
    <t>SLAS-SRS-024</t>
  </si>
  <si>
    <t>EXIT_ROAD 복수 표지판 적용</t>
  </si>
  <si>
    <t>SLAS-SRS-025</t>
  </si>
  <si>
    <t>BLOCKED 메시지</t>
  </si>
  <si>
    <t>SLAS-SRS-026</t>
  </si>
  <si>
    <t>BLOCKED 보조 표시/경고/안내 억제</t>
  </si>
  <si>
    <t>SLAS-SRS-027</t>
  </si>
  <si>
    <t>이전 표시 제한속도 미사용</t>
  </si>
  <si>
    <t>SLAS-SRS-028</t>
  </si>
  <si>
    <t>카메라 초기화 상태</t>
  </si>
  <si>
    <t>SLAS-SRS-029</t>
  </si>
  <si>
    <t>기능 제한 상태 색상 강조 금지</t>
  </si>
  <si>
    <t>SLAS-SRS-030</t>
  </si>
  <si>
    <t>적용 제한속도 출처 출력</t>
  </si>
  <si>
    <t>SLAS-SRS-031</t>
  </si>
  <si>
    <t>내비 출처 표시</t>
  </si>
  <si>
    <t>SLAS-SRS-032</t>
  </si>
  <si>
    <t>카메라 출처 표시</t>
  </si>
  <si>
    <t>04_SLAS Unit Test Result</t>
  </si>
  <si>
    <t>테스트 함수명</t>
  </si>
  <si>
    <t>대상 함수</t>
  </si>
  <si>
    <t>테스트 목적</t>
  </si>
  <si>
    <t>관련 SRS ID</t>
  </si>
  <si>
    <t>입력값</t>
  </si>
  <si>
    <t>기대 결과</t>
  </si>
  <si>
    <t>실제 결과</t>
  </si>
  <si>
    <t>Pass/Fail</t>
  </si>
  <si>
    <t>비고</t>
  </si>
  <si>
    <t>단위 테스트 요약</t>
  </si>
  <si>
    <t>총 테스트 수</t>
  </si>
  <si>
    <t>Statement Coverage (gcov)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</si>
</sst>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4">
    <font>
      <sz val="11"/>
      <name val="Carlito"/>
    </font>
    <font>
      <b/>
      <sz val="18"/>
      <color rgb="FF111827"/>
      <name val="Carlito"/>
    </font>
    <font>
      <b/>
      <sz val="10"/>
      <color rgb="FF475467"/>
      <name val="Carlito"/>
    </font>
    <font>
      <sz val="10"/>
      <color rgb="FF111827"/>
      <name val="Carlito"/>
    </font>
    <font>
      <b/>
      <sz val="10"/>
      <color rgb="FF111827"/>
      <name val="Carlito"/>
    </font>
    <font>
      <b/>
      <sz val="10"/>
      <color rgb="FFFFFFFF"/>
      <name val="Carlito"/>
    </font>
    <font>
      <sz val="11"/>
      <name val="Carlito"/>
    </font>
    <font>
      <b/>
      <sz val="18"/>
      <color rgb="FF000000"/>
      <name val="Carlito"/>
    </font>
    <font>
      <sz val="8"/>
      <name val="돋움"/>
      <family val="3"/>
      <charset val="129"/>
    </font>
    <font>
      <b/>
      <sz val="11"/>
      <color rgb="FF111827"/>
      <name val="Carlito"/>
    </font>
    <font>
      <b/>
      <sz val="14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2F3B4D"/>
      </patternFill>
    </fill>
    <fill>
      <patternFill patternType="solid">
        <fgColor rgb="FFFFF200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DBE7F6"/>
        <bgColor rgb="FFDBE7F6"/>
      </patternFill>
    </fill>
    <fill>
      <patternFill patternType="solid">
        <fgColor rgb="FFF1F5F9"/>
        <bgColor rgb="FFF1F5F9"/>
      </patternFill>
    </fill>
    <fill>
      <patternFill patternType="solid">
        <fgColor rgb="FFFFFDE7"/>
        <bgColor rgb="FFFFFDE7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2" fillId="0" borderId="0" xfId="1" applyFont="1" applyAlignment="1">
      <alignment wrapText="1"/>
    </xf>
    <xf numFmtId="0" fontId="3" fillId="0" borderId="1" xfId="1" applyFont="1" applyBorder="1" applyAlignment="1">
      <alignment vertical="top" wrapText="1"/>
    </xf>
    <xf numFmtId="0" fontId="4" fillId="2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vertical="top" wrapText="1"/>
    </xf>
    <xf numFmtId="176" fontId="3" fillId="4" borderId="1" xfId="1" applyNumberFormat="1" applyFont="1" applyFill="1" applyBorder="1" applyAlignment="1">
      <alignment vertical="top" wrapText="1"/>
    </xf>
    <xf numFmtId="0" fontId="4" fillId="5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13" fillId="0" borderId="0" xfId="0" applyFont="1"/>
    <xf numFmtId="176" fontId="0" fillId="0" borderId="0" xfId="0" applyNumberFormat="1"/>
    <xf numFmtId="0" fontId="10" fillId="0" borderId="0" xfId="0" applyFont="1"/>
    <xf numFmtId="0" fontId="11" fillId="7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2" fillId="0" borderId="0" xfId="0" applyFont="1"/>
    <xf numFmtId="0" fontId="0" fillId="8" borderId="0" xfId="0" applyFill="1"/>
    <xf numFmtId="176" fontId="0" fillId="9" borderId="0" xfId="0" applyNumberFormat="1" applyFill="1"/>
    <xf numFmtId="0" fontId="2" fillId="0" borderId="0" xfId="1" applyFont="1" applyAlignment="1">
      <alignment wrapText="1"/>
    </xf>
    <xf numFmtId="0" fontId="0" fillId="0" borderId="0" xfId="0"/>
    <xf numFmtId="0" fontId="1" fillId="0" borderId="0" xfId="1" quotePrefix="1" applyFont="1" applyAlignment="1">
      <alignment horizontal="left"/>
    </xf>
    <xf numFmtId="0" fontId="7" fillId="0" borderId="0" xfId="1" quotePrefix="1" applyFont="1" applyAlignment="1">
      <alignment horizontal="left"/>
    </xf>
    <xf numFmtId="0" fontId="9" fillId="0" borderId="0" xfId="1" quotePrefix="1" applyFont="1" applyAlignment="1">
      <alignment horizontal="left" wrapText="1"/>
    </xf>
  </cellXfs>
  <cellStyles count="2">
    <cellStyle name="Normal" xfId="1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tabSelected="1" zoomScale="115" zoomScaleNormal="115" workbookViewId="0">
      <selection activeCell="E21" sqref="E21"/>
    </sheetView>
  </sheetViews>
  <sheetFormatPr defaultRowHeight="13.5"/>
  <cols>
    <col min="1" max="1" width="23.6875" customWidth="1"/>
    <col min="2" max="2" width="13.6875" customWidth="1"/>
    <col min="3" max="3" width="4.375" customWidth="1"/>
    <col min="4" max="4" width="16.1875" customWidth="1"/>
    <col min="5" max="5" width="13.6875" customWidth="1"/>
    <col min="6" max="6" width="4.375" customWidth="1"/>
    <col min="7" max="7" width="23.6875" customWidth="1"/>
    <col min="8" max="8" width="13.6875" customWidth="1"/>
  </cols>
  <sheetData>
    <row r="1" spans="1:8" ht="22.8" customHeight="1">
      <c r="A1" s="20" t="s">
        <v>15</v>
      </c>
      <c r="B1" s="18"/>
      <c r="C1" s="18"/>
      <c r="D1" s="18"/>
      <c r="E1" s="18"/>
      <c r="F1" s="18"/>
      <c r="G1" s="18"/>
      <c r="H1" s="18"/>
    </row>
    <row r="4" spans="1:8">
      <c r="A4" s="4" t="s">
        <v>16</v>
      </c>
      <c r="B4" s="4" t="s">
        <v>17</v>
      </c>
      <c r="C4" s="4"/>
      <c r="D4" s="4" t="s">
        <v>12</v>
      </c>
      <c r="E4" s="4" t="s">
        <v>17</v>
      </c>
      <c r="F4" s="4"/>
      <c r="G4" s="4" t="s">
        <v>18</v>
      </c>
      <c r="H4" s="4" t="s">
        <v>17</v>
      </c>
    </row>
    <row r="5" spans="1:8">
      <c r="A5" s="2" t="s">
        <v>19</v>
      </c>
      <c r="B5" s="5">
        <f>COUNTA('01_SLAS_Testcase'!$B$4:$B$203)</f>
        <v>0</v>
      </c>
      <c r="C5" s="2"/>
      <c r="D5" s="2" t="s">
        <v>20</v>
      </c>
      <c r="E5" s="5">
        <f>COUNTIF('01_SLAS_Testcase'!$L$4:$L$203,"Pass")</f>
        <v>0</v>
      </c>
      <c r="F5" s="2"/>
      <c r="G5" s="2" t="s">
        <v>21</v>
      </c>
      <c r="H5" s="5">
        <f>COUNTA('02_Requirements_Coverage'!$A$5:$A$104)</f>
        <v>32</v>
      </c>
    </row>
    <row r="6" spans="1:8">
      <c r="A6" s="2" t="s">
        <v>22</v>
      </c>
      <c r="B6" s="5">
        <f>E5+E6+E7</f>
        <v>0</v>
      </c>
      <c r="C6" s="2"/>
      <c r="D6" s="2" t="s">
        <v>23</v>
      </c>
      <c r="E6" s="5">
        <f>COUNTIF('01_SLAS_Testcase'!$L$4:$L$203,"Fail")</f>
        <v>0</v>
      </c>
      <c r="F6" s="2"/>
      <c r="G6" s="2" t="s">
        <v>24</v>
      </c>
      <c r="H6" s="5">
        <f>COUNTIF('02_Requirements_Coverage'!$D$5:$D$104,"Covered")</f>
        <v>0</v>
      </c>
    </row>
    <row r="7" spans="1:8">
      <c r="A7" s="2" t="s">
        <v>25</v>
      </c>
      <c r="B7" s="6">
        <f>IF(B5=0,0,B6/B5)</f>
        <v>0</v>
      </c>
      <c r="C7" s="2"/>
      <c r="D7" s="2" t="s">
        <v>26</v>
      </c>
      <c r="E7" s="5">
        <f>COUNTIF('01_SLAS_Testcase'!$L$4:$L$203,"N/A")</f>
        <v>0</v>
      </c>
      <c r="F7" s="2"/>
      <c r="G7" s="2" t="s">
        <v>27</v>
      </c>
      <c r="H7" s="6">
        <f>IF(H5=0,0,H6/H5)</f>
        <v>0</v>
      </c>
    </row>
    <row r="8" spans="1:8">
      <c r="A8" s="2"/>
      <c r="B8" s="5"/>
      <c r="C8" s="2"/>
      <c r="D8" s="2" t="s">
        <v>28</v>
      </c>
      <c r="E8" s="5">
        <f>B5-E5-E6-E7</f>
        <v>0</v>
      </c>
      <c r="F8" s="2"/>
      <c r="G8" s="2" t="s">
        <v>29</v>
      </c>
      <c r="H8" s="5">
        <f>H5-H6</f>
        <v>32</v>
      </c>
    </row>
    <row r="10" spans="1:8" ht="13.9">
      <c r="A10" s="9" t="s">
        <v>30</v>
      </c>
      <c r="B10" s="9" t="s">
        <v>17</v>
      </c>
    </row>
    <row r="11" spans="1:8">
      <c r="A11" t="s">
        <v>31</v>
      </c>
      <c r="B11">
        <f>COUNTA('03_UnitTest_Result'!B4:B23)</f>
        <v>0</v>
      </c>
    </row>
    <row r="12" spans="1:8">
      <c r="A12" t="s">
        <v>32</v>
      </c>
      <c r="B12">
        <f>COUNTIF('03_UnitTest_Result'!I4:I23,"Pass")</f>
        <v>0</v>
      </c>
    </row>
    <row r="13" spans="1:8">
      <c r="A13" t="s">
        <v>33</v>
      </c>
      <c r="B13">
        <f>COUNTIF('03_UnitTest_Result'!I4:I23,"Fail")</f>
        <v>0</v>
      </c>
    </row>
    <row r="14" spans="1:8">
      <c r="A14" t="s">
        <v>34</v>
      </c>
      <c r="B14" s="10">
        <f>'03_UnitTest_Result'!B32</f>
        <v>0</v>
      </c>
    </row>
  </sheetData>
  <mergeCells count="1">
    <mergeCell ref="A1:H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1"/>
  <sheetViews>
    <sheetView showGridLines="0" workbookViewId="0">
      <selection activeCell="E31" sqref="E31"/>
    </sheetView>
  </sheetViews>
  <sheetFormatPr defaultRowHeight="13.5"/>
  <cols>
    <col min="1" max="1" width="6" customWidth="1"/>
    <col min="2" max="2" width="16.1875" customWidth="1"/>
    <col min="3" max="3" width="26.1875" customWidth="1"/>
    <col min="4" max="4" width="28.6875" customWidth="1"/>
    <col min="5" max="5" width="18.125" customWidth="1"/>
    <col min="6" max="6" width="26.1875" customWidth="1"/>
    <col min="7" max="7" width="38.6875" customWidth="1"/>
    <col min="8" max="8" width="43.6875" customWidth="1"/>
    <col min="9" max="9" width="38.6875" customWidth="1"/>
    <col min="10" max="10" width="27.5" customWidth="1"/>
    <col min="11" max="11" width="37.5" customWidth="1"/>
    <col min="12" max="14" width="11.875" customWidth="1"/>
  </cols>
  <sheetData>
    <row r="1" spans="1:14" ht="22.8" customHeight="1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3.9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>
      <c r="A3" s="7" t="s">
        <v>1</v>
      </c>
      <c r="B3" s="7" t="s">
        <v>2</v>
      </c>
      <c r="C3" s="7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8" t="s">
        <v>11</v>
      </c>
      <c r="L3" s="8" t="s">
        <v>12</v>
      </c>
      <c r="M3" s="8" t="s">
        <v>13</v>
      </c>
      <c r="N3" s="8" t="s">
        <v>14</v>
      </c>
    </row>
    <row r="4" spans="1:14">
      <c r="A4" s="2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2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2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2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2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>
      <c r="A14" s="2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>
        <v>24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>
        <v>25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>
        <v>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>
        <v>27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">
        <v>28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2"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2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>
        <v>32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>
        <v>33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>
        <v>34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>
        <v>35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>
        <v>36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>
        <v>37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>
        <v>38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>
        <v>39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>
        <v>40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>
        <v>41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>
        <v>42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>
        <v>43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>
        <v>44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>
        <v>45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>
        <v>46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2">
        <v>47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2">
        <v>48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</sheetData>
  <mergeCells count="2">
    <mergeCell ref="A2:N2"/>
    <mergeCell ref="A1:N1"/>
  </mergeCells>
  <phoneticPr fontId="8" type="noConversion"/>
  <dataValidations count="3">
    <dataValidation type="list" sqref="L4:L203" xr:uid="{00000000-0002-0000-0200-000000000000}">
      <formula1>"Not Tested,Pass,Fail,N/A"</formula1>
    </dataValidation>
    <dataValidation type="list" sqref="M4:M203" xr:uid="{00000000-0002-0000-0200-000001000000}">
      <formula1>",Critical,Major,Minor,Info"</formula1>
    </dataValidation>
    <dataValidation type="list" sqref="N4:N203" xr:uid="{00000000-0002-0000-0200-000002000000}">
      <formula1>",P1,P2,P3,P4"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"/>
  <sheetViews>
    <sheetView showGridLines="0" workbookViewId="0">
      <selection activeCell="C14" sqref="C14"/>
    </sheetView>
  </sheetViews>
  <sheetFormatPr defaultRowHeight="13.5"/>
  <cols>
    <col min="1" max="1" width="18.6875" customWidth="1"/>
    <col min="2" max="2" width="45" customWidth="1"/>
    <col min="3" max="4" width="16.1875" customWidth="1"/>
    <col min="5" max="5" width="45" customWidth="1"/>
    <col min="6" max="6" width="32.5" customWidth="1"/>
  </cols>
  <sheetData>
    <row r="1" spans="1:6" ht="22.8" customHeight="1">
      <c r="A1" s="19" t="s">
        <v>35</v>
      </c>
      <c r="B1" s="18"/>
      <c r="C1" s="18"/>
      <c r="D1" s="18"/>
      <c r="E1" s="18"/>
      <c r="F1" s="18"/>
    </row>
    <row r="2" spans="1:6" ht="15.95" customHeight="1">
      <c r="A2" s="21" t="s">
        <v>36</v>
      </c>
      <c r="B2" s="18"/>
      <c r="C2" s="18"/>
      <c r="D2" s="18"/>
      <c r="E2" s="18"/>
      <c r="F2" s="18"/>
    </row>
    <row r="3" spans="1:6" ht="13.9">
      <c r="A3" s="1"/>
      <c r="B3" s="1"/>
      <c r="C3" s="1"/>
      <c r="D3" s="1"/>
      <c r="E3" s="1"/>
      <c r="F3" s="1"/>
    </row>
    <row r="4" spans="1:6">
      <c r="A4" s="7" t="s">
        <v>37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42</v>
      </c>
    </row>
    <row r="5" spans="1:6">
      <c r="A5" s="2" t="s">
        <v>43</v>
      </c>
      <c r="B5" s="2" t="s">
        <v>44</v>
      </c>
      <c r="C5" s="2">
        <f>COUNTIF('01_SLAS_Testcase'!$C$4:$C$203,"*"&amp;A5&amp;"*")</f>
        <v>0</v>
      </c>
      <c r="D5" s="2" t="str">
        <f t="shared" ref="D5:D36" si="0">IF(C5&gt;0,"Covered","Not Covered")</f>
        <v>Not Covered</v>
      </c>
      <c r="E5" s="2"/>
      <c r="F5" s="2"/>
    </row>
    <row r="6" spans="1:6">
      <c r="A6" s="2" t="s">
        <v>45</v>
      </c>
      <c r="B6" s="2" t="s">
        <v>46</v>
      </c>
      <c r="C6" s="2">
        <f>COUNTIF('01_SLAS_Testcase'!$C$4:$C$203,"*"&amp;A6&amp;"*")</f>
        <v>0</v>
      </c>
      <c r="D6" s="2" t="str">
        <f t="shared" si="0"/>
        <v>Not Covered</v>
      </c>
      <c r="E6" s="2"/>
      <c r="F6" s="2"/>
    </row>
    <row r="7" spans="1:6">
      <c r="A7" s="2" t="s">
        <v>47</v>
      </c>
      <c r="B7" s="2" t="s">
        <v>48</v>
      </c>
      <c r="C7" s="2">
        <f>COUNTIF('01_SLAS_Testcase'!$C$4:$C$203,"*"&amp;A7&amp;"*")</f>
        <v>0</v>
      </c>
      <c r="D7" s="2" t="str">
        <f t="shared" si="0"/>
        <v>Not Covered</v>
      </c>
      <c r="E7" s="2"/>
      <c r="F7" s="2"/>
    </row>
    <row r="8" spans="1:6">
      <c r="A8" s="2" t="s">
        <v>49</v>
      </c>
      <c r="B8" s="2" t="s">
        <v>50</v>
      </c>
      <c r="C8" s="2">
        <f>COUNTIF('01_SLAS_Testcase'!$C$4:$C$203,"*"&amp;A8&amp;"*")</f>
        <v>0</v>
      </c>
      <c r="D8" s="2" t="str">
        <f t="shared" si="0"/>
        <v>Not Covered</v>
      </c>
      <c r="E8" s="2"/>
      <c r="F8" s="2"/>
    </row>
    <row r="9" spans="1:6">
      <c r="A9" s="2" t="s">
        <v>51</v>
      </c>
      <c r="B9" s="2" t="s">
        <v>52</v>
      </c>
      <c r="C9" s="2">
        <f>COUNTIF('01_SLAS_Testcase'!$C$4:$C$203,"*"&amp;A9&amp;"*")</f>
        <v>0</v>
      </c>
      <c r="D9" s="2" t="str">
        <f t="shared" si="0"/>
        <v>Not Covered</v>
      </c>
      <c r="E9" s="2"/>
      <c r="F9" s="2"/>
    </row>
    <row r="10" spans="1:6">
      <c r="A10" s="2" t="s">
        <v>53</v>
      </c>
      <c r="B10" s="2" t="s">
        <v>54</v>
      </c>
      <c r="C10" s="2">
        <f>COUNTIF('01_SLAS_Testcase'!$C$4:$C$203,"*"&amp;A10&amp;"*")</f>
        <v>0</v>
      </c>
      <c r="D10" s="2" t="str">
        <f t="shared" si="0"/>
        <v>Not Covered</v>
      </c>
      <c r="E10" s="2"/>
      <c r="F10" s="2"/>
    </row>
    <row r="11" spans="1:6">
      <c r="A11" s="2" t="s">
        <v>55</v>
      </c>
      <c r="B11" s="2" t="s">
        <v>56</v>
      </c>
      <c r="C11" s="2">
        <f>COUNTIF('01_SLAS_Testcase'!$C$4:$C$203,"*"&amp;A11&amp;"*")</f>
        <v>0</v>
      </c>
      <c r="D11" s="2" t="str">
        <f t="shared" si="0"/>
        <v>Not Covered</v>
      </c>
      <c r="E11" s="2"/>
      <c r="F11" s="2"/>
    </row>
    <row r="12" spans="1:6">
      <c r="A12" s="2" t="s">
        <v>57</v>
      </c>
      <c r="B12" s="2" t="s">
        <v>58</v>
      </c>
      <c r="C12" s="2">
        <f>COUNTIF('01_SLAS_Testcase'!$C$4:$C$203,"*"&amp;A12&amp;"*")</f>
        <v>0</v>
      </c>
      <c r="D12" s="2" t="str">
        <f t="shared" si="0"/>
        <v>Not Covered</v>
      </c>
      <c r="E12" s="2"/>
      <c r="F12" s="2"/>
    </row>
    <row r="13" spans="1:6">
      <c r="A13" s="2" t="s">
        <v>59</v>
      </c>
      <c r="B13" s="2" t="s">
        <v>60</v>
      </c>
      <c r="C13" s="2">
        <f>COUNTIF('01_SLAS_Testcase'!$C$4:$C$203,"*"&amp;A13&amp;"*")</f>
        <v>0</v>
      </c>
      <c r="D13" s="2" t="str">
        <f t="shared" si="0"/>
        <v>Not Covered</v>
      </c>
      <c r="E13" s="2"/>
      <c r="F13" s="2"/>
    </row>
    <row r="14" spans="1:6">
      <c r="A14" s="2" t="s">
        <v>61</v>
      </c>
      <c r="B14" s="2" t="s">
        <v>62</v>
      </c>
      <c r="C14" s="2">
        <f>COUNTIF('01_SLAS_Testcase'!$C$4:$C$203,"*"&amp;A14&amp;"*")</f>
        <v>0</v>
      </c>
      <c r="D14" s="2" t="str">
        <f t="shared" si="0"/>
        <v>Not Covered</v>
      </c>
      <c r="E14" s="2"/>
      <c r="F14" s="2"/>
    </row>
    <row r="15" spans="1:6">
      <c r="A15" s="2" t="s">
        <v>63</v>
      </c>
      <c r="B15" s="2" t="s">
        <v>64</v>
      </c>
      <c r="C15" s="2">
        <f>COUNTIF('01_SLAS_Testcase'!$C$4:$C$203,"*"&amp;A15&amp;"*")</f>
        <v>0</v>
      </c>
      <c r="D15" s="2" t="str">
        <f t="shared" si="0"/>
        <v>Not Covered</v>
      </c>
      <c r="E15" s="2"/>
      <c r="F15" s="2"/>
    </row>
    <row r="16" spans="1:6">
      <c r="A16" s="2" t="s">
        <v>65</v>
      </c>
      <c r="B16" s="2" t="s">
        <v>66</v>
      </c>
      <c r="C16" s="2">
        <f>COUNTIF('01_SLAS_Testcase'!$C$4:$C$203,"*"&amp;A16&amp;"*")</f>
        <v>0</v>
      </c>
      <c r="D16" s="2" t="str">
        <f t="shared" si="0"/>
        <v>Not Covered</v>
      </c>
      <c r="E16" s="2"/>
      <c r="F16" s="2"/>
    </row>
    <row r="17" spans="1:6">
      <c r="A17" s="2" t="s">
        <v>67</v>
      </c>
      <c r="B17" s="2" t="s">
        <v>68</v>
      </c>
      <c r="C17" s="2">
        <f>COUNTIF('01_SLAS_Testcase'!$C$4:$C$203,"*"&amp;A17&amp;"*")</f>
        <v>0</v>
      </c>
      <c r="D17" s="2" t="str">
        <f t="shared" si="0"/>
        <v>Not Covered</v>
      </c>
      <c r="E17" s="2"/>
      <c r="F17" s="2"/>
    </row>
    <row r="18" spans="1:6">
      <c r="A18" s="2" t="s">
        <v>69</v>
      </c>
      <c r="B18" s="2" t="s">
        <v>70</v>
      </c>
      <c r="C18" s="2">
        <f>COUNTIF('01_SLAS_Testcase'!$C$4:$C$203,"*"&amp;A18&amp;"*")</f>
        <v>0</v>
      </c>
      <c r="D18" s="2" t="str">
        <f t="shared" si="0"/>
        <v>Not Covered</v>
      </c>
      <c r="E18" s="2"/>
      <c r="F18" s="2"/>
    </row>
    <row r="19" spans="1:6">
      <c r="A19" s="2" t="s">
        <v>71</v>
      </c>
      <c r="B19" s="2" t="s">
        <v>72</v>
      </c>
      <c r="C19" s="2">
        <f>COUNTIF('01_SLAS_Testcase'!$C$4:$C$203,"*"&amp;A19&amp;"*")</f>
        <v>0</v>
      </c>
      <c r="D19" s="2" t="str">
        <f t="shared" si="0"/>
        <v>Not Covered</v>
      </c>
      <c r="E19" s="2"/>
      <c r="F19" s="2"/>
    </row>
    <row r="20" spans="1:6">
      <c r="A20" s="2" t="s">
        <v>73</v>
      </c>
      <c r="B20" s="2" t="s">
        <v>74</v>
      </c>
      <c r="C20" s="2">
        <f>COUNTIF('01_SLAS_Testcase'!$C$4:$C$203,"*"&amp;A20&amp;"*")</f>
        <v>0</v>
      </c>
      <c r="D20" s="2" t="str">
        <f t="shared" si="0"/>
        <v>Not Covered</v>
      </c>
      <c r="E20" s="2"/>
      <c r="F20" s="2"/>
    </row>
    <row r="21" spans="1:6">
      <c r="A21" s="2" t="s">
        <v>75</v>
      </c>
      <c r="B21" s="2" t="s">
        <v>76</v>
      </c>
      <c r="C21" s="2">
        <f>COUNTIF('01_SLAS_Testcase'!$C$4:$C$203,"*"&amp;A21&amp;"*")</f>
        <v>0</v>
      </c>
      <c r="D21" s="2" t="str">
        <f t="shared" si="0"/>
        <v>Not Covered</v>
      </c>
      <c r="E21" s="2"/>
      <c r="F21" s="2"/>
    </row>
    <row r="22" spans="1:6">
      <c r="A22" s="2" t="s">
        <v>77</v>
      </c>
      <c r="B22" s="2" t="s">
        <v>78</v>
      </c>
      <c r="C22" s="2">
        <f>COUNTIF('01_SLAS_Testcase'!$C$4:$C$203,"*"&amp;A22&amp;"*")</f>
        <v>0</v>
      </c>
      <c r="D22" s="2" t="str">
        <f t="shared" si="0"/>
        <v>Not Covered</v>
      </c>
      <c r="E22" s="2"/>
      <c r="F22" s="2"/>
    </row>
    <row r="23" spans="1:6">
      <c r="A23" s="2" t="s">
        <v>79</v>
      </c>
      <c r="B23" s="2" t="s">
        <v>80</v>
      </c>
      <c r="C23" s="2">
        <f>COUNTIF('01_SLAS_Testcase'!$C$4:$C$203,"*"&amp;A23&amp;"*")</f>
        <v>0</v>
      </c>
      <c r="D23" s="2" t="str">
        <f t="shared" si="0"/>
        <v>Not Covered</v>
      </c>
      <c r="E23" s="2"/>
      <c r="F23" s="2"/>
    </row>
    <row r="24" spans="1:6">
      <c r="A24" s="2" t="s">
        <v>81</v>
      </c>
      <c r="B24" s="2" t="s">
        <v>82</v>
      </c>
      <c r="C24" s="2">
        <f>COUNTIF('01_SLAS_Testcase'!$C$4:$C$203,"*"&amp;A24&amp;"*")</f>
        <v>0</v>
      </c>
      <c r="D24" s="2" t="str">
        <f t="shared" si="0"/>
        <v>Not Covered</v>
      </c>
      <c r="E24" s="2"/>
      <c r="F24" s="2"/>
    </row>
    <row r="25" spans="1:6">
      <c r="A25" s="2" t="s">
        <v>83</v>
      </c>
      <c r="B25" s="2" t="s">
        <v>84</v>
      </c>
      <c r="C25" s="2">
        <f>COUNTIF('01_SLAS_Testcase'!$C$4:$C$203,"*"&amp;A25&amp;"*")</f>
        <v>0</v>
      </c>
      <c r="D25" s="2" t="str">
        <f t="shared" si="0"/>
        <v>Not Covered</v>
      </c>
      <c r="E25" s="2"/>
      <c r="F25" s="2"/>
    </row>
    <row r="26" spans="1:6">
      <c r="A26" s="2" t="s">
        <v>85</v>
      </c>
      <c r="B26" s="2" t="s">
        <v>86</v>
      </c>
      <c r="C26" s="2">
        <f>COUNTIF('01_SLAS_Testcase'!$C$4:$C$203,"*"&amp;A26&amp;"*")</f>
        <v>0</v>
      </c>
      <c r="D26" s="2" t="str">
        <f t="shared" si="0"/>
        <v>Not Covered</v>
      </c>
      <c r="E26" s="2"/>
      <c r="F26" s="2"/>
    </row>
    <row r="27" spans="1:6">
      <c r="A27" s="2" t="s">
        <v>87</v>
      </c>
      <c r="B27" s="2" t="s">
        <v>88</v>
      </c>
      <c r="C27" s="2">
        <f>COUNTIF('01_SLAS_Testcase'!$C$4:$C$203,"*"&amp;A27&amp;"*")</f>
        <v>0</v>
      </c>
      <c r="D27" s="2" t="str">
        <f t="shared" si="0"/>
        <v>Not Covered</v>
      </c>
      <c r="E27" s="2"/>
      <c r="F27" s="2"/>
    </row>
    <row r="28" spans="1:6">
      <c r="A28" s="2" t="s">
        <v>89</v>
      </c>
      <c r="B28" s="2" t="s">
        <v>90</v>
      </c>
      <c r="C28" s="2">
        <f>COUNTIF('01_SLAS_Testcase'!$C$4:$C$203,"*"&amp;A28&amp;"*")</f>
        <v>0</v>
      </c>
      <c r="D28" s="2" t="str">
        <f t="shared" si="0"/>
        <v>Not Covered</v>
      </c>
      <c r="E28" s="2"/>
      <c r="F28" s="2"/>
    </row>
    <row r="29" spans="1:6">
      <c r="A29" s="2" t="s">
        <v>91</v>
      </c>
      <c r="B29" s="2" t="s">
        <v>92</v>
      </c>
      <c r="C29" s="2">
        <f>COUNTIF('01_SLAS_Testcase'!$C$4:$C$203,"*"&amp;A29&amp;"*")</f>
        <v>0</v>
      </c>
      <c r="D29" s="2" t="str">
        <f t="shared" si="0"/>
        <v>Not Covered</v>
      </c>
      <c r="E29" s="2"/>
      <c r="F29" s="2"/>
    </row>
    <row r="30" spans="1:6">
      <c r="A30" s="2" t="s">
        <v>93</v>
      </c>
      <c r="B30" s="2" t="s">
        <v>94</v>
      </c>
      <c r="C30" s="2">
        <f>COUNTIF('01_SLAS_Testcase'!$C$4:$C$203,"*"&amp;A30&amp;"*")</f>
        <v>0</v>
      </c>
      <c r="D30" s="2" t="str">
        <f t="shared" si="0"/>
        <v>Not Covered</v>
      </c>
      <c r="E30" s="2"/>
      <c r="F30" s="2"/>
    </row>
    <row r="31" spans="1:6">
      <c r="A31" s="2" t="s">
        <v>95</v>
      </c>
      <c r="B31" s="2" t="s">
        <v>96</v>
      </c>
      <c r="C31" s="2">
        <f>COUNTIF('01_SLAS_Testcase'!$C$4:$C$203,"*"&amp;A31&amp;"*")</f>
        <v>0</v>
      </c>
      <c r="D31" s="2" t="str">
        <f t="shared" si="0"/>
        <v>Not Covered</v>
      </c>
      <c r="E31" s="2"/>
      <c r="F31" s="2"/>
    </row>
    <row r="32" spans="1:6">
      <c r="A32" s="2" t="s">
        <v>97</v>
      </c>
      <c r="B32" s="2" t="s">
        <v>98</v>
      </c>
      <c r="C32" s="2">
        <f>COUNTIF('01_SLAS_Testcase'!$C$4:$C$203,"*"&amp;A32&amp;"*")</f>
        <v>0</v>
      </c>
      <c r="D32" s="2" t="str">
        <f t="shared" si="0"/>
        <v>Not Covered</v>
      </c>
      <c r="E32" s="2"/>
      <c r="F32" s="2"/>
    </row>
    <row r="33" spans="1:6">
      <c r="A33" s="2" t="s">
        <v>99</v>
      </c>
      <c r="B33" s="2" t="s">
        <v>100</v>
      </c>
      <c r="C33" s="2">
        <f>COUNTIF('01_SLAS_Testcase'!$C$4:$C$203,"*"&amp;A33&amp;"*")</f>
        <v>0</v>
      </c>
      <c r="D33" s="2" t="str">
        <f t="shared" si="0"/>
        <v>Not Covered</v>
      </c>
      <c r="E33" s="2"/>
      <c r="F33" s="2"/>
    </row>
    <row r="34" spans="1:6">
      <c r="A34" s="2" t="s">
        <v>101</v>
      </c>
      <c r="B34" s="2" t="s">
        <v>102</v>
      </c>
      <c r="C34" s="2">
        <f>COUNTIF('01_SLAS_Testcase'!$C$4:$C$203,"*"&amp;A34&amp;"*")</f>
        <v>0</v>
      </c>
      <c r="D34" s="2" t="str">
        <f t="shared" si="0"/>
        <v>Not Covered</v>
      </c>
      <c r="E34" s="2"/>
      <c r="F34" s="2"/>
    </row>
    <row r="35" spans="1:6">
      <c r="A35" s="2" t="s">
        <v>103</v>
      </c>
      <c r="B35" s="2" t="s">
        <v>104</v>
      </c>
      <c r="C35" s="2">
        <f>COUNTIF('01_SLAS_Testcase'!$C$4:$C$203,"*"&amp;A35&amp;"*")</f>
        <v>0</v>
      </c>
      <c r="D35" s="2" t="str">
        <f t="shared" si="0"/>
        <v>Not Covered</v>
      </c>
      <c r="E35" s="2"/>
      <c r="F35" s="2"/>
    </row>
    <row r="36" spans="1:6">
      <c r="A36" s="2" t="s">
        <v>105</v>
      </c>
      <c r="B36" s="2" t="s">
        <v>106</v>
      </c>
      <c r="C36" s="2">
        <f>COUNTIF('01_SLAS_Testcase'!$C$4:$C$203,"*"&amp;A36&amp;"*")</f>
        <v>0</v>
      </c>
      <c r="D36" s="2" t="str">
        <f t="shared" si="0"/>
        <v>Not Covered</v>
      </c>
      <c r="E36" s="2"/>
      <c r="F36" s="2"/>
    </row>
  </sheetData>
  <mergeCells count="2">
    <mergeCell ref="A2:F2"/>
    <mergeCell ref="A1:F1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workbookViewId="0"/>
  </sheetViews>
  <sheetFormatPr defaultRowHeight="13.5"/>
  <cols>
    <col min="1" max="1" width="6" customWidth="1"/>
    <col min="2" max="2" width="28" customWidth="1"/>
    <col min="3" max="3" width="18" customWidth="1"/>
    <col min="4" max="4" width="30" customWidth="1"/>
    <col min="5" max="5" width="20" customWidth="1"/>
    <col min="6" max="6" width="30" customWidth="1"/>
    <col min="7" max="8" width="25" customWidth="1"/>
    <col min="9" max="9" width="10" customWidth="1"/>
    <col min="10" max="10" width="20" customWidth="1"/>
  </cols>
  <sheetData>
    <row r="1" spans="1:10" ht="17.649999999999999">
      <c r="A1" s="11" t="s">
        <v>107</v>
      </c>
    </row>
    <row r="3" spans="1:10" ht="13.9">
      <c r="A3" s="12" t="s">
        <v>1</v>
      </c>
      <c r="B3" s="12" t="s">
        <v>108</v>
      </c>
      <c r="C3" s="12" t="s">
        <v>109</v>
      </c>
      <c r="D3" s="12" t="s">
        <v>110</v>
      </c>
      <c r="E3" s="12" t="s">
        <v>111</v>
      </c>
      <c r="F3" s="12" t="s">
        <v>112</v>
      </c>
      <c r="G3" s="12" t="s">
        <v>113</v>
      </c>
      <c r="H3" s="12" t="s">
        <v>114</v>
      </c>
      <c r="I3" s="12" t="s">
        <v>115</v>
      </c>
      <c r="J3" s="12" t="s">
        <v>116</v>
      </c>
    </row>
    <row r="4" spans="1:10">
      <c r="A4" s="13">
        <v>1</v>
      </c>
      <c r="B4" s="13"/>
      <c r="C4" s="13"/>
      <c r="D4" s="13"/>
      <c r="E4" s="13"/>
      <c r="F4" s="13"/>
      <c r="G4" s="13"/>
      <c r="H4" s="13"/>
      <c r="I4" s="13"/>
      <c r="J4" s="13"/>
    </row>
    <row r="5" spans="1:10">
      <c r="A5" s="13">
        <v>2</v>
      </c>
      <c r="B5" s="13"/>
      <c r="C5" s="13"/>
      <c r="D5" s="13"/>
      <c r="E5" s="13"/>
      <c r="F5" s="13"/>
      <c r="G5" s="13"/>
      <c r="H5" s="13"/>
      <c r="I5" s="13"/>
      <c r="J5" s="13"/>
    </row>
    <row r="6" spans="1:10">
      <c r="A6" s="13">
        <v>3</v>
      </c>
      <c r="B6" s="13"/>
      <c r="C6" s="13"/>
      <c r="D6" s="13"/>
      <c r="E6" s="13"/>
      <c r="F6" s="13"/>
      <c r="G6" s="13"/>
      <c r="H6" s="13"/>
      <c r="I6" s="13"/>
      <c r="J6" s="13"/>
    </row>
    <row r="7" spans="1:10">
      <c r="A7" s="13">
        <v>4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3">
        <v>5</v>
      </c>
      <c r="B8" s="13"/>
      <c r="C8" s="13"/>
      <c r="D8" s="13"/>
      <c r="E8" s="13"/>
      <c r="F8" s="13"/>
      <c r="G8" s="13"/>
      <c r="H8" s="13"/>
      <c r="I8" s="13"/>
      <c r="J8" s="13"/>
    </row>
    <row r="9" spans="1:10">
      <c r="A9" s="13">
        <v>6</v>
      </c>
      <c r="B9" s="13"/>
      <c r="C9" s="13"/>
      <c r="D9" s="13"/>
      <c r="E9" s="13"/>
      <c r="F9" s="13"/>
      <c r="G9" s="13"/>
      <c r="H9" s="13"/>
      <c r="I9" s="13"/>
      <c r="J9" s="13"/>
    </row>
    <row r="10" spans="1:10">
      <c r="A10" s="13">
        <v>7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>
      <c r="A11" s="13">
        <v>8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3">
        <v>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>
      <c r="A13" s="13">
        <v>10</v>
      </c>
      <c r="B13" s="13"/>
      <c r="C13" s="13"/>
      <c r="D13" s="13"/>
      <c r="E13" s="13"/>
      <c r="F13" s="13"/>
      <c r="G13" s="13"/>
      <c r="H13" s="13"/>
      <c r="I13" s="13"/>
      <c r="J13" s="13"/>
    </row>
    <row r="14" spans="1:10">
      <c r="A14" s="13">
        <v>11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>
      <c r="A15" s="13">
        <v>12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>
      <c r="A16" s="13">
        <v>13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>
      <c r="A17" s="13">
        <v>14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>
      <c r="A18" s="13">
        <v>15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>
      <c r="A19" s="13">
        <v>16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>
      <c r="A20" s="13">
        <v>17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>
      <c r="A21" s="13">
        <v>18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>
      <c r="A22" s="13">
        <v>19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>
      <c r="A23" s="13">
        <v>20</v>
      </c>
      <c r="B23" s="13"/>
      <c r="C23" s="13"/>
      <c r="D23" s="13"/>
      <c r="E23" s="13"/>
      <c r="F23" s="13"/>
      <c r="G23" s="13"/>
      <c r="H23" s="13"/>
      <c r="I23" s="13"/>
      <c r="J23" s="13"/>
    </row>
    <row r="26" spans="1:10" ht="15">
      <c r="A26" s="14" t="s">
        <v>117</v>
      </c>
    </row>
    <row r="28" spans="1:10">
      <c r="A28" s="15" t="s">
        <v>118</v>
      </c>
      <c r="B28" s="15">
        <f>COUNTA(B4:B23)</f>
        <v>0</v>
      </c>
    </row>
    <row r="29" spans="1:10">
      <c r="A29" s="15" t="s">
        <v>20</v>
      </c>
      <c r="B29" s="15">
        <f>COUNTIF(I4:I23,"Pass")</f>
        <v>0</v>
      </c>
    </row>
    <row r="30" spans="1:10">
      <c r="A30" s="15" t="s">
        <v>23</v>
      </c>
      <c r="B30" s="15">
        <f>COUNTIF(I4:I23,"Fail")</f>
        <v>0</v>
      </c>
    </row>
    <row r="32" spans="1:10">
      <c r="A32" s="15" t="s">
        <v>119</v>
      </c>
      <c r="B32" s="16"/>
    </row>
  </sheetData>
  <phoneticPr fontId="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00_Summary</vt:lpstr>
      <vt:lpstr>01_SLAS_Testcase</vt:lpstr>
      <vt:lpstr>02_Requirements_Coverage</vt:lpstr>
      <vt:lpstr>03_UnitTest_Result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EUNBI KIM</cp:lastModifiedBy>
  <dcterms:created xsi:type="dcterms:W3CDTF">2026-06-29T00:32:59Z</dcterms:created>
  <dcterms:modified xsi:type="dcterms:W3CDTF">2026-07-24T22:46:13Z</dcterms:modified>
</cp:coreProperties>
</file>